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sos" sheetId="1" state="visible" r:id="rId1"/>
    <sheet xmlns:r="http://schemas.openxmlformats.org/officeDocument/2006/relationships" name="Trazabilidad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'Casos'!$A$4:$P$75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B3C5D"/>
      <sz val="13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9"/>
    </font>
  </fonts>
  <fills count="4">
    <fill>
      <patternFill/>
    </fill>
    <fill>
      <patternFill patternType="gray125"/>
    </fill>
    <fill>
      <patternFill patternType="solid">
        <fgColor rgb="FF0B3C5D"/>
        <bgColor rgb="FF333333"/>
      </patternFill>
    </fill>
    <fill>
      <patternFill patternType="solid">
        <fgColor rgb="FFFFF4CC"/>
        <bgColor rgb="FFFFFFFF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0B3C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C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2" min="1" max="1"/>
    <col width="26" customWidth="1" style="12" min="2" max="2"/>
    <col width="34" customWidth="1" style="12" min="3" max="3"/>
    <col width="18" customWidth="1" style="12" min="4" max="4"/>
    <col width="10" customWidth="1" style="12" min="5" max="6"/>
    <col width="11" customWidth="1" style="12" min="7" max="7"/>
    <col width="12" customWidth="1" style="12" min="8" max="8"/>
    <col width="14" customWidth="1" style="12" min="9" max="9"/>
    <col width="20" customWidth="1" style="12" min="10" max="10"/>
    <col width="38" customWidth="1" style="12" min="11" max="11"/>
    <col width="58" customWidth="1" style="12" min="12" max="13"/>
    <col width="10" customWidth="1" style="12" min="14" max="14"/>
    <col width="13" customWidth="1" style="12" min="15" max="15"/>
    <col width="12" customWidth="1" style="12" min="16" max="16"/>
  </cols>
  <sheetData>
    <row r="1" ht="16.15" customHeight="1" s="13">
      <c r="A1" s="14" t="inlineStr">
        <is>
          <t>Casos de prueba · Panel Organizador · Entrega 1 (build: commit 1d8a68e) · 36 priorizados, 25 postergados y 10 para las Entregas 2 y 3</t>
        </is>
      </c>
    </row>
    <row r="2" ht="15" customHeight="1" s="13">
      <c r="A2" s="15" t="inlineStr">
        <is>
          <t>Listado para cargar en TestLink (un caso por fila). La importancia sale del nivel del riesgo más alto que cubre el caso. Estado: se actualiza en cada ejecución. Datos y tokens: ver plan §4.3.</t>
        </is>
      </c>
    </row>
    <row r="3"/>
    <row r="4" ht="32.8" customHeight="1" s="13">
      <c r="A4" s="16" t="inlineStr">
        <is>
          <t>ID</t>
        </is>
      </c>
      <c r="B4" s="16" t="inlineStr">
        <is>
          <t>Suite TestLink</t>
        </is>
      </c>
      <c r="C4" s="16" t="inlineStr">
        <is>
          <t>Título</t>
        </is>
      </c>
      <c r="D4" s="16" t="inlineStr">
        <is>
          <t>Requisito / HU</t>
        </is>
      </c>
      <c r="E4" s="16" t="inlineStr">
        <is>
          <t>Riesgo(s)</t>
        </is>
      </c>
      <c r="F4" s="16" t="inlineStr">
        <is>
          <t>Nivel de riesgo</t>
        </is>
      </c>
      <c r="G4" s="16" t="inlineStr">
        <is>
          <t>Importancia TestLink</t>
        </is>
      </c>
      <c r="H4" s="16" t="inlineStr">
        <is>
          <t>Nivel de prueba</t>
        </is>
      </c>
      <c r="I4" s="16" t="inlineStr">
        <is>
          <t>Tipo de prueba</t>
        </is>
      </c>
      <c r="J4" s="16" t="inlineStr">
        <is>
          <t>Técnica</t>
        </is>
      </c>
      <c r="K4" s="16" t="inlineStr">
        <is>
          <t>Precondiciones y datos</t>
        </is>
      </c>
      <c r="L4" s="16" t="inlineStr">
        <is>
          <t>Pasos</t>
        </is>
      </c>
      <c r="M4" s="16" t="inlineStr">
        <is>
          <t>Resultado esperado</t>
        </is>
      </c>
      <c r="N4" s="16" t="inlineStr">
        <is>
          <t>Entrega</t>
        </is>
      </c>
      <c r="O4" s="16" t="inlineStr">
        <is>
          <t>Responsable</t>
        </is>
      </c>
      <c r="P4" s="16" t="inlineStr">
        <is>
          <t>Estado</t>
        </is>
      </c>
    </row>
    <row r="5" ht="63.75" customHeight="1" s="13">
      <c r="A5" s="17" t="inlineStr">
        <is>
          <t>PO-AUT-01</t>
        </is>
      </c>
      <c r="B5" s="17" t="inlineStr">
        <is>
          <t>01 Autenticación y autorización (HU-06)</t>
        </is>
      </c>
      <c r="C5" s="17" t="inlineStr">
        <is>
          <t>Sesión ausente o inválida en los endpoints del organizador</t>
        </is>
      </c>
      <c r="D5" s="17" t="inlineStr">
        <is>
          <t>HU-06</t>
        </is>
      </c>
      <c r="E5" s="17" t="inlineStr">
        <is>
          <t>R1</t>
        </is>
      </c>
      <c r="F5" s="17" t="inlineStr">
        <is>
          <t>Alto</t>
        </is>
      </c>
      <c r="G5" s="17" t="inlineStr">
        <is>
          <t>Alta</t>
        </is>
      </c>
      <c r="H5" s="17" t="inlineStr">
        <is>
          <t>Integración</t>
        </is>
      </c>
      <c r="I5" s="17" t="inlineStr">
        <is>
          <t>Funcional</t>
        </is>
      </c>
      <c r="J5" s="17" t="inlineStr">
        <is>
          <t>Tabla de decisión</t>
        </is>
      </c>
      <c r="K5" s="17" t="inlineStr">
        <is>
          <t>API y mock-auth arriba; seed cargado.</t>
        </is>
      </c>
      <c r="L5" s="17" t="inlineStr">
        <is>
          <t>1) Para cada endpoint (POST /api/v1/panel/eventos, GET …/mios, GET …/mios/{id}, POST …/mios/{id}/publicar) enviar la solicitud sin cabecera Cookie.
2) Repetir con Cookie: jwt=token-expirado.
3) Repetir con Cookie: jwt=abc123 (token desconocido).</t>
        </is>
      </c>
      <c r="M5" s="17" t="inlineStr">
        <is>
          <t>Los 12 envíos responden 401 con error.codigo = SESSION_INVALID y mensaje de iniciar sesión. Sin cookie, el panel no llama a Auth. No se crea ni modifica ningún evento.</t>
        </is>
      </c>
      <c r="N5" s="17" t="inlineStr">
        <is>
          <t>Entrega 1</t>
        </is>
      </c>
      <c r="O5" s="17" t="inlineStr">
        <is>
          <t>Alonso Vera</t>
        </is>
      </c>
      <c r="P5" s="18" t="inlineStr">
        <is>
          <t>Diseñado</t>
        </is>
      </c>
    </row>
    <row r="6" ht="39.75" customHeight="1" s="13">
      <c r="A6" s="17" t="inlineStr">
        <is>
          <t>PO-AUT-02</t>
        </is>
      </c>
      <c r="B6" s="17" t="inlineStr">
        <is>
          <t>01 Autenticación y autorización (HU-06)</t>
        </is>
      </c>
      <c r="C6" s="17" t="inlineStr">
        <is>
          <t>Rol no autorizado en los endpoints del organizador</t>
        </is>
      </c>
      <c r="D6" s="17" t="inlineStr">
        <is>
          <t>HU-06</t>
        </is>
      </c>
      <c r="E6" s="17" t="inlineStr">
        <is>
          <t>R1</t>
        </is>
      </c>
      <c r="F6" s="17" t="inlineStr">
        <is>
          <t>Alto</t>
        </is>
      </c>
      <c r="G6" s="17" t="inlineStr">
        <is>
          <t>Alta</t>
        </is>
      </c>
      <c r="H6" s="17" t="inlineStr">
        <is>
          <t>Integración</t>
        </is>
      </c>
      <c r="I6" s="17" t="inlineStr">
        <is>
          <t>Funcional</t>
        </is>
      </c>
      <c r="J6" s="17" t="inlineStr">
        <is>
          <t>Tabla de decisión</t>
        </is>
      </c>
      <c r="K6" s="17" t="inlineStr">
        <is>
          <t>Como AUT-01.</t>
        </is>
      </c>
      <c r="L6" s="17" t="inlineStr">
        <is>
          <t>1) Con Cookie: jwt=token-asistente, llamar a los 4 endpoints del organizador.
2) Repetir con Cookie: jwt=token-staff.</t>
        </is>
      </c>
      <c r="M6" s="17" t="inlineStr">
        <is>
          <t>Los 8 envíos responden 403 con error.codigo = FORBIDDEN_ROLE y un mensaje de acceso restringido a organizadores. No se crea ni modifica ningún evento.</t>
        </is>
      </c>
      <c r="N6" s="17" t="inlineStr">
        <is>
          <t>Entrega 1</t>
        </is>
      </c>
      <c r="O6" s="17" t="inlineStr">
        <is>
          <t>Alonso Vera</t>
        </is>
      </c>
      <c r="P6" s="18" t="inlineStr">
        <is>
          <t>Diseñado</t>
        </is>
      </c>
    </row>
    <row r="7" ht="63.75" customHeight="1" s="13">
      <c r="A7" s="17" t="inlineStr">
        <is>
          <t>PO-AUT-03</t>
        </is>
      </c>
      <c r="B7" s="17" t="inlineStr">
        <is>
          <t>01 Autenticación y autorización (HU-06)</t>
        </is>
      </c>
      <c r="C7" s="17" t="inlineStr">
        <is>
          <t>Organizador autorizado accede a sus operaciones</t>
        </is>
      </c>
      <c r="D7" s="17" t="inlineStr">
        <is>
          <t>HU-06</t>
        </is>
      </c>
      <c r="E7" s="17" t="inlineStr">
        <is>
          <t>R1</t>
        </is>
      </c>
      <c r="F7" s="17" t="inlineStr">
        <is>
          <t>Alto</t>
        </is>
      </c>
      <c r="G7" s="17" t="inlineStr">
        <is>
          <t>Alta</t>
        </is>
      </c>
      <c r="H7" s="17" t="inlineStr">
        <is>
          <t>Integración</t>
        </is>
      </c>
      <c r="I7" s="17" t="inlineStr">
        <is>
          <t>Funcional</t>
        </is>
      </c>
      <c r="J7" s="17" t="inlineStr">
        <is>
          <t>Tabla de decisión</t>
        </is>
      </c>
      <c r="K7" s="17" t="inlineStr">
        <is>
          <t>Como AUT-01. Usar Cookie: jwt=token-org-a.</t>
        </is>
      </c>
      <c r="L7" s="17" t="inlineStr">
        <is>
          <t>1) POST /api/v1/panel/eventos con un evento válido (campos del ejemplo del OpenAPI).
2) GET …/mios.
3) GET …/mios/{id del evento creado}.
4) POST …/mios/{id}/publicar.</t>
        </is>
      </c>
      <c r="M7" s="17" t="inlineStr">
        <is>
          <t>Respuestas 201, 200, 200 y 200. El id_organizador del evento es el id que devuelve Auth (3f1e2c1a-4b8d-4a2e-9c3f-7d1e2f9b2d4a), nunca uno enviado por el cliente.</t>
        </is>
      </c>
      <c r="N7" s="17" t="inlineStr">
        <is>
          <t>Entrega 1</t>
        </is>
      </c>
      <c r="O7" s="17" t="inlineStr">
        <is>
          <t>Alonso Vera</t>
        </is>
      </c>
      <c r="P7" s="18" t="inlineStr">
        <is>
          <t>Postergado</t>
        </is>
      </c>
    </row>
    <row r="8" ht="51.75" customHeight="1" s="13">
      <c r="A8" s="17" t="inlineStr">
        <is>
          <t>PO-AUT-04</t>
        </is>
      </c>
      <c r="B8" s="17" t="inlineStr">
        <is>
          <t>01 Autenticación y autorización (HU-06)</t>
        </is>
      </c>
      <c r="C8" s="17" t="inlineStr">
        <is>
          <t>Auth lento: la operación se corta y no se crea nada (fail-secure)</t>
        </is>
      </c>
      <c r="D8" s="17" t="inlineStr">
        <is>
          <t>HU-06</t>
        </is>
      </c>
      <c r="E8" s="17" t="inlineStr">
        <is>
          <t>R1</t>
        </is>
      </c>
      <c r="F8" s="17" t="inlineStr">
        <is>
          <t>Alto</t>
        </is>
      </c>
      <c r="G8" s="17" t="inlineStr">
        <is>
          <t>Alta</t>
        </is>
      </c>
      <c r="H8" s="17" t="inlineStr">
        <is>
          <t>Integración</t>
        </is>
      </c>
      <c r="I8" s="17" t="inlineStr">
        <is>
          <t>No funcional</t>
        </is>
      </c>
      <c r="J8" s="17" t="inlineStr">
        <is>
          <t>Predicción de errores / checklist</t>
        </is>
      </c>
      <c r="K8" s="17" t="inlineStr">
        <is>
          <t>Org A tiene 5 eventos en el seed. Auth tarda 3 s con token-lento y el timeout del panel es 1 s.</t>
        </is>
      </c>
      <c r="L8" s="17" t="inlineStr">
        <is>
          <t>1) GET …/mios con Org A y anotar la cantidad de eventos (5).
2) POST /api/v1/panel/eventos con Cookie: jwt=token-lento y un evento válido; medir el tiempo de respuesta.
3) Repetir GET …/mios con Org A.</t>
        </is>
      </c>
      <c r="M8" s="17" t="inlineStr">
        <is>
          <t>El paso 2 responde 503 con error.codigo = AUTH_UNAVAILABLE en cerca de 2 s (timeout más un reintento). El paso 3 sigue mostrando 5 eventos: no se creó nada.</t>
        </is>
      </c>
      <c r="N8" s="17" t="inlineStr">
        <is>
          <t>Entrega 1</t>
        </is>
      </c>
      <c r="O8" s="17" t="inlineStr">
        <is>
          <t>Christopher Okinggton</t>
        </is>
      </c>
      <c r="P8" s="18" t="inlineStr">
        <is>
          <t>Diseñado</t>
        </is>
      </c>
    </row>
    <row r="9" ht="63.75" customHeight="1" s="13">
      <c r="A9" s="17" t="inlineStr">
        <is>
          <t>PO-AUT-05</t>
        </is>
      </c>
      <c r="B9" s="17" t="inlineStr">
        <is>
          <t>01 Autenticación y autorización (HU-06)</t>
        </is>
      </c>
      <c r="C9" s="17" t="inlineStr">
        <is>
          <t>Auth caído y recuperación sin reiniciar la API</t>
        </is>
      </c>
      <c r="D9" s="17" t="inlineStr">
        <is>
          <t>HU-06</t>
        </is>
      </c>
      <c r="E9" s="17" t="inlineStr">
        <is>
          <t>R1</t>
        </is>
      </c>
      <c r="F9" s="17" t="inlineStr">
        <is>
          <t>Alto</t>
        </is>
      </c>
      <c r="G9" s="17" t="inlineStr">
        <is>
          <t>Alta</t>
        </is>
      </c>
      <c r="H9" s="17" t="inlineStr">
        <is>
          <t>Integración</t>
        </is>
      </c>
      <c r="I9" s="17" t="inlineStr">
        <is>
          <t>No funcional</t>
        </is>
      </c>
      <c r="J9" s="17" t="inlineStr">
        <is>
          <t>Predicción de errores / checklist</t>
        </is>
      </c>
      <c r="K9" s="17" t="inlineStr">
        <is>
          <t>Docker disponible para detener e iniciar el contenedor mock-auth.</t>
        </is>
      </c>
      <c r="L9" s="17" t="inlineStr">
        <is>
          <t>1) docker compose stop mock-auth.
2) GET …/mios con token-org-a.
3) POST …/publicar con token-org-a sobre un Borrador.
4) docker compose start mock-auth y repetir el paso 2 sin tocar la API.</t>
        </is>
      </c>
      <c r="M9" s="17" t="inlineStr">
        <is>
          <t>Los pasos 2 y 3 responden 503 AUTH_UNAVAILABLE y el Borrador sigue en BORRADOR. En el paso 4 la respuesta vuelve a 200 sin reiniciar la API.</t>
        </is>
      </c>
      <c r="N9" s="17" t="inlineStr">
        <is>
          <t>Entrega 1</t>
        </is>
      </c>
      <c r="O9" s="17" t="inlineStr">
        <is>
          <t>Christopher Okinggton</t>
        </is>
      </c>
      <c r="P9" s="18" t="inlineStr">
        <is>
          <t>Postergado</t>
        </is>
      </c>
    </row>
    <row r="10" ht="63.75" customHeight="1" s="13">
      <c r="A10" s="17" t="inlineStr">
        <is>
          <t>PO-AUT-06</t>
        </is>
      </c>
      <c r="B10" s="17" t="inlineStr">
        <is>
          <t>01 Autenticación y autorización (HU-06)</t>
        </is>
      </c>
      <c r="C10" s="17" t="inlineStr">
        <is>
          <t>Exploratorio de sesión en la UI (login simulado, 401, 403, 503)</t>
        </is>
      </c>
      <c r="D10" s="17" t="inlineStr">
        <is>
          <t>HU-06</t>
        </is>
      </c>
      <c r="E10" s="17" t="inlineStr">
        <is>
          <t>R1, R12</t>
        </is>
      </c>
      <c r="F10" s="17" t="inlineStr">
        <is>
          <t>Alto</t>
        </is>
      </c>
      <c r="G10" s="17" t="inlineStr">
        <is>
          <t>Alta</t>
        </is>
      </c>
      <c r="H10" s="17" t="inlineStr">
        <is>
          <t>Sistema</t>
        </is>
      </c>
      <c r="I10" s="17" t="inlineStr">
        <is>
          <t>No funcional</t>
        </is>
      </c>
      <c r="J10" s="17" t="inlineStr">
        <is>
          <t>Exploratorio</t>
        </is>
      </c>
      <c r="K10" s="17" t="inlineStr">
        <is>
          <t>Frontend en http://localhost:5173. Charter de 45 min: explorar el ciclo de sesión para encontrar mensajes confusos o rutas sin protección.</t>
        </is>
      </c>
      <c r="L10" s="17" t="inlineStr">
        <is>
          <t>1) Entrar con cada botón del login simulado (Organizadora A, Organizador B, Asistente).
2) Entrar con token expirado y con Auth lento.
3) Abrir rutas internas (/mis-eventos, /nuevo-evento, detalle) sin sesión, y cerrar sesión desde el avatar.</t>
        </is>
      </c>
      <c r="M10" s="17" t="inlineStr">
        <is>
          <t>Sesión inválida redirige a /login con aviso de sesión; el asistente ve acceso denegado; con Auth lento se muestra la pantalla de servicio no disponible. Ninguna ruta interna se ve sin sesión. Hallazgos como defectos en Mantis.</t>
        </is>
      </c>
      <c r="N10" s="17" t="inlineStr">
        <is>
          <t>Entrega 1</t>
        </is>
      </c>
      <c r="O10" s="17" t="inlineStr">
        <is>
          <t>Joaquín Martínez</t>
        </is>
      </c>
      <c r="P10" s="18" t="inlineStr">
        <is>
          <t>Diseñado</t>
        </is>
      </c>
    </row>
    <row r="11" ht="63.75" customHeight="1" s="13">
      <c r="A11" s="17" t="inlineStr">
        <is>
          <t>PO-PRO-01</t>
        </is>
      </c>
      <c r="B11" s="17" t="inlineStr">
        <is>
          <t>02 Propiedad del evento (HU-06)</t>
        </is>
      </c>
      <c r="C11" s="17" t="inlineStr">
        <is>
          <t>Propiedad × endpoint con eventos de Org A y Org B</t>
        </is>
      </c>
      <c r="D11" s="17" t="inlineStr">
        <is>
          <t>HU-06</t>
        </is>
      </c>
      <c r="E11" s="17" t="inlineStr">
        <is>
          <t>R2</t>
        </is>
      </c>
      <c r="F11" s="17" t="inlineStr">
        <is>
          <t>Alto</t>
        </is>
      </c>
      <c r="G11" s="17" t="inlineStr">
        <is>
          <t>Alta</t>
        </is>
      </c>
      <c r="H11" s="17" t="inlineStr">
        <is>
          <t>Sistema</t>
        </is>
      </c>
      <c r="I11" s="17" t="inlineStr">
        <is>
          <t>Funcional</t>
        </is>
      </c>
      <c r="J11" s="17" t="inlineStr">
        <is>
          <t>Tabla de decisión</t>
        </is>
      </c>
      <c r="K11" s="17" t="inlineStr">
        <is>
          <t>Seed: Org A (token-org-a) es dueña de 66f1a0000000000000000001 a …05; Org B (token-org-b) de 66f1b0000000000000000001 (Publicado) y …02 (Borrador).</t>
        </is>
      </c>
      <c r="L11" s="17" t="inlineStr">
        <is>
          <t>1) Org A: GET …/mios/66f1b0000000000000000001.
2) Org A: POST …/mios/66f1b0000000000000000002/publicar.
3) Org B: GET …/mios/66f1b0000000000000000002 para comprobar que sigue en BORRADOR.
4) Org B: GET de su propio evento …b01.</t>
        </is>
      </c>
      <c r="M11" s="17" t="inlineStr">
        <is>
          <t>Los pasos 1 y 2 responden 403 con error.codigo = EVENT_NOT_OWNED. En el paso 3 el estado sigue en BORRADOR. El paso 4 responde 200.</t>
        </is>
      </c>
      <c r="N11" s="17" t="inlineStr">
        <is>
          <t>Entrega 1</t>
        </is>
      </c>
      <c r="O11" s="17" t="inlineStr">
        <is>
          <t>Alonso Vera</t>
        </is>
      </c>
      <c r="P11" s="18" t="inlineStr">
        <is>
          <t>Diseñado</t>
        </is>
      </c>
    </row>
    <row r="12" ht="51.75" customHeight="1" s="13">
      <c r="A12" s="17" t="inlineStr">
        <is>
          <t>PO-PRO-02</t>
        </is>
      </c>
      <c r="B12" s="17" t="inlineStr">
        <is>
          <t>02 Propiedad del evento (HU-06)</t>
        </is>
      </c>
      <c r="C12" s="17" t="inlineStr">
        <is>
          <t>Ids inexistentes y mal formados</t>
        </is>
      </c>
      <c r="D12" s="17" t="inlineStr">
        <is>
          <t>HU-06</t>
        </is>
      </c>
      <c r="E12" s="17" t="inlineStr">
        <is>
          <t>R2</t>
        </is>
      </c>
      <c r="F12" s="17" t="inlineStr">
        <is>
          <t>Alto</t>
        </is>
      </c>
      <c r="G12" s="17" t="inlineStr">
        <is>
          <t>Alta</t>
        </is>
      </c>
      <c r="H12" s="17" t="inlineStr">
        <is>
          <t>Sistema</t>
        </is>
      </c>
      <c r="I12" s="17" t="inlineStr">
        <is>
          <t>Funcional</t>
        </is>
      </c>
      <c r="J12" s="17" t="inlineStr">
        <is>
          <t>Partición de equivalencia</t>
        </is>
      </c>
      <c r="K12" s="17" t="inlineStr">
        <is>
          <t>Cookie de Org A.</t>
        </is>
      </c>
      <c r="L12" s="17" t="inlineStr">
        <is>
          <t>1) GET …/mios/66f1a0000000000000000099 (formato válido, no existe).
2) GET …/mios/abc, …/mios/{23 hex} y …/mios/{25 hex}.
3) Repetir 1 y 2 en POST …/publicar.</t>
        </is>
      </c>
      <c r="M12" s="17" t="inlineStr">
        <is>
          <t>Todas las respuestas son 404 con error.codigo = EVENT_NOT_FOUND. Ninguna es 500 ni 403.</t>
        </is>
      </c>
      <c r="N12" s="17" t="inlineStr">
        <is>
          <t>Entrega 1</t>
        </is>
      </c>
      <c r="O12" s="17" t="inlineStr">
        <is>
          <t>Alonso Vera</t>
        </is>
      </c>
      <c r="P12" s="18" t="inlineStr">
        <is>
          <t>Diseñado</t>
        </is>
      </c>
    </row>
    <row r="13" ht="63.75" customHeight="1" s="13">
      <c r="A13" s="17" t="inlineStr">
        <is>
          <t>PO-PRO-03</t>
        </is>
      </c>
      <c r="B13" s="17" t="inlineStr">
        <is>
          <t>02 Propiedad del evento (HU-06)</t>
        </is>
      </c>
      <c r="C13" s="17" t="inlineStr">
        <is>
          <t>El cliente no puede imponer dueño, estado ni id</t>
        </is>
      </c>
      <c r="D13" s="17" t="inlineStr">
        <is>
          <t>HU-06</t>
        </is>
      </c>
      <c r="E13" s="17" t="inlineStr">
        <is>
          <t>R2</t>
        </is>
      </c>
      <c r="F13" s="17" t="inlineStr">
        <is>
          <t>Alto</t>
        </is>
      </c>
      <c r="G13" s="17" t="inlineStr">
        <is>
          <t>Alta</t>
        </is>
      </c>
      <c r="H13" s="17" t="inlineStr">
        <is>
          <t>Sistema</t>
        </is>
      </c>
      <c r="I13" s="17" t="inlineStr">
        <is>
          <t>Funcional</t>
        </is>
      </c>
      <c r="J13" s="17" t="inlineStr">
        <is>
          <t>Partición de equivalencia</t>
        </is>
      </c>
      <c r="K13" s="17" t="inlineStr">
        <is>
          <t>Cookie de Org A.</t>
        </is>
      </c>
      <c r="L13" s="17" t="inlineStr">
        <is>
          <t>1) POST /api/v1/panel/eventos con un evento válido más id_organizador = id de Org B.
2) Repetir con estado_gestion = PUBLICADO.
3) Repetir con id_evento = 66f1a0000000000000000001.
4) GET …/mios de Org A y de Org B.</t>
        </is>
      </c>
      <c r="M13" s="17" t="inlineStr">
        <is>
          <t>Los tres envíos responden 400 con error.codigo = VALIDATION_ERROR y detalles por campo. La cantidad de eventos de A y de B no cambia.</t>
        </is>
      </c>
      <c r="N13" s="17" t="inlineStr">
        <is>
          <t>Entrega 1</t>
        </is>
      </c>
      <c r="O13" s="17" t="inlineStr">
        <is>
          <t>Alonso Vera</t>
        </is>
      </c>
      <c r="P13" s="18" t="inlineStr">
        <is>
          <t>Diseñado</t>
        </is>
      </c>
    </row>
    <row r="14" ht="75.75" customHeight="1" s="13">
      <c r="A14" s="17" t="inlineStr">
        <is>
          <t>PO-PRO-04</t>
        </is>
      </c>
      <c r="B14" s="17" t="inlineStr">
        <is>
          <t>02 Propiedad del evento (HU-06)</t>
        </is>
      </c>
      <c r="C14" s="17" t="inlineStr">
        <is>
          <t>Consulta a TITEC: el GET compartido no valida propiedad</t>
        </is>
      </c>
      <c r="D14" s="17" t="inlineStr">
        <is>
          <t>HU-06</t>
        </is>
      </c>
      <c r="E14" s="17" t="inlineStr">
        <is>
          <t>R2, R7</t>
        </is>
      </c>
      <c r="F14" s="17" t="inlineStr">
        <is>
          <t>Alto</t>
        </is>
      </c>
      <c r="G14" s="17" t="inlineStr">
        <is>
          <t>Alta</t>
        </is>
      </c>
      <c r="H14" s="17" t="inlineStr">
        <is>
          <t>Integración</t>
        </is>
      </c>
      <c r="I14" s="17" t="inlineStr">
        <is>
          <t>Funcional</t>
        </is>
      </c>
      <c r="J14" s="17" t="inlineStr">
        <is>
          <t>Exploratorio</t>
        </is>
      </c>
      <c r="K14" s="17" t="inlineStr">
        <is>
          <t>Charter de 20 min. El contrato Check-in v1.2 autoriza «staff y organizador» sin hablar de propiedad.</t>
        </is>
      </c>
      <c r="L14" s="17" t="inlineStr">
        <is>
          <t>1) Org B: GET /api/v1/panel/eventos/66f1a0000000000000000002 (evento Publicado de Org A).
2) Staff: el mismo GET.
3) Registrar la respuesta, los campos expuestos (id_usuario, cantidad_entradas) y consultar a TITEC si un organizador debería poder leer eventos ajenos por este endpoint.</t>
        </is>
      </c>
      <c r="M14" s="17" t="inlineStr">
        <is>
          <t>Se documenta el comportamiento observado. Si Org B recibe 200 y TITEC confirma que debía ser 403, se abre un defecto (severidad Mayor); si TITEC lo confirma como diseño, se anota como supuesto aceptado.</t>
        </is>
      </c>
      <c r="N14" s="17" t="inlineStr">
        <is>
          <t>Entrega 1</t>
        </is>
      </c>
      <c r="O14" s="17" t="inlineStr">
        <is>
          <t>Christopher Okinggton</t>
        </is>
      </c>
      <c r="P14" s="18" t="inlineStr">
        <is>
          <t>Diseñado</t>
        </is>
      </c>
    </row>
    <row r="15" ht="27.75" customHeight="1" s="13">
      <c r="A15" s="17" t="inlineStr">
        <is>
          <t>PO-PRO-05</t>
        </is>
      </c>
      <c r="B15" s="17" t="inlineStr">
        <is>
          <t>02 Propiedad del evento (HU-06)</t>
        </is>
      </c>
      <c r="C15" s="17" t="inlineStr">
        <is>
          <t>El orden de rutas no abre /mios sin sesión</t>
        </is>
      </c>
      <c r="D15" s="17" t="inlineStr">
        <is>
          <t>HU-06</t>
        </is>
      </c>
      <c r="E15" s="17" t="inlineStr">
        <is>
          <t>R2</t>
        </is>
      </c>
      <c r="F15" s="17" t="inlineStr">
        <is>
          <t>Alto</t>
        </is>
      </c>
      <c r="G15" s="17" t="inlineStr">
        <is>
          <t>Alta</t>
        </is>
      </c>
      <c r="H15" s="17" t="inlineStr">
        <is>
          <t>Sistema</t>
        </is>
      </c>
      <c r="I15" s="17" t="inlineStr">
        <is>
          <t>Confirmación y regresión</t>
        </is>
      </c>
      <c r="J15" s="17" t="inlineStr">
        <is>
          <t>Predicción de errores / checklist</t>
        </is>
      </c>
      <c r="K15" s="17" t="inlineStr">
        <is>
          <t>API arriba.</t>
        </is>
      </c>
      <c r="L15" s="17" t="inlineStr">
        <is>
          <t>1) GET /api/v1/panel/eventos/mios sin cookie.
2) GET /api/v1/panel/eventos/mios con token-asistente.</t>
        </is>
      </c>
      <c r="M15" s="17" t="inlineStr">
        <is>
          <t>401 SESSION_INVALID y 403 FORBIDDEN_ROLE. Nunca se trata «mios» como si fuera un id_evento.</t>
        </is>
      </c>
      <c r="N15" s="17" t="inlineStr">
        <is>
          <t>Entrega 1</t>
        </is>
      </c>
      <c r="O15" s="17" t="inlineStr">
        <is>
          <t>Alonso Vera</t>
        </is>
      </c>
      <c r="P15" s="18" t="inlineStr">
        <is>
          <t>Postergado</t>
        </is>
      </c>
    </row>
    <row r="16" ht="51.75" customHeight="1" s="13">
      <c r="A16" s="17" t="inlineStr">
        <is>
          <t>PO-PUB-01</t>
        </is>
      </c>
      <c r="B16" s="17" t="inlineStr">
        <is>
          <t>03 Publicar evento (HU-04)</t>
        </is>
      </c>
      <c r="C16" s="17" t="inlineStr">
        <is>
          <t>Transición válida Borrador → Publicado</t>
        </is>
      </c>
      <c r="D16" s="17" t="inlineStr">
        <is>
          <t>HU-04</t>
        </is>
      </c>
      <c r="E16" s="17" t="inlineStr">
        <is>
          <t>R3, R8</t>
        </is>
      </c>
      <c r="F16" s="17" t="inlineStr">
        <is>
          <t>Alto</t>
        </is>
      </c>
      <c r="G16" s="17" t="inlineStr">
        <is>
          <t>Alta</t>
        </is>
      </c>
      <c r="H16" s="17" t="inlineStr">
        <is>
          <t>Sistema</t>
        </is>
      </c>
      <c r="I16" s="17" t="inlineStr">
        <is>
          <t>Funcional</t>
        </is>
      </c>
      <c r="J16" s="17" t="inlineStr">
        <is>
          <t>Transición de estados</t>
        </is>
      </c>
      <c r="K16" s="17" t="inlineStr">
        <is>
          <t>Crear con Org A un evento completo (con hora_fin_evento), que queda en BORRADOR.</t>
        </is>
      </c>
      <c r="L16" s="17" t="inlineStr">
        <is>
          <t>1) POST …/mios/{id}/publicar con Org A.
2) GET …/mios/{id}.
3) GET /api/v1/organizador/eventos/proximos (como Catálogo).
4) GET /api/v1/panel/eventos/{id}/cambios-estado.</t>
        </is>
      </c>
      <c r="M16" s="17" t="inlineStr">
        <is>
          <t>El paso 1 responde 200 con estado_gestion = PUBLICADO y fecha_actualizacion nueva. El evento aparece en próximos (si su fecha es futura). El historial lista PUBLICADO primero y BORRADOR después.</t>
        </is>
      </c>
      <c r="N16" s="17" t="inlineStr">
        <is>
          <t>Entrega 1</t>
        </is>
      </c>
      <c r="O16" s="17" t="inlineStr">
        <is>
          <t>Alonso Vera</t>
        </is>
      </c>
      <c r="P16" s="18" t="inlineStr">
        <is>
          <t>Diseñado</t>
        </is>
      </c>
    </row>
    <row r="17" ht="27.75" customHeight="1" s="13">
      <c r="A17" s="17" t="inlineStr">
        <is>
          <t>PO-PUB-02</t>
        </is>
      </c>
      <c r="B17" s="17" t="inlineStr">
        <is>
          <t>03 Publicar evento (HU-04)</t>
        </is>
      </c>
      <c r="C17" s="17" t="inlineStr">
        <is>
          <t>Transiciones inválidas desde Publicado, Finalizado y Cancelado</t>
        </is>
      </c>
      <c r="D17" s="17" t="inlineStr">
        <is>
          <t>HU-04</t>
        </is>
      </c>
      <c r="E17" s="17" t="inlineStr">
        <is>
          <t>R3</t>
        </is>
      </c>
      <c r="F17" s="17" t="inlineStr">
        <is>
          <t>Alto</t>
        </is>
      </c>
      <c r="G17" s="17" t="inlineStr">
        <is>
          <t>Alta</t>
        </is>
      </c>
      <c r="H17" s="17" t="inlineStr">
        <is>
          <t>Sistema</t>
        </is>
      </c>
      <c r="I17" s="17" t="inlineStr">
        <is>
          <t>Funcional</t>
        </is>
      </c>
      <c r="J17" s="17" t="inlineStr">
        <is>
          <t>Transición de estados</t>
        </is>
      </c>
      <c r="K17" s="17" t="inlineStr">
        <is>
          <t>Seed: 66f1a…02 Publicado, …04 Finalizado, …05 Cancelado (Org A).</t>
        </is>
      </c>
      <c r="L17" s="17" t="inlineStr">
        <is>
          <t>1) POST …/mios/{id}/publicar sobre cada uno de los tres eventos.
2) GET …/cambios-estado de cada uno antes y después.</t>
        </is>
      </c>
      <c r="M17" s="17" t="inlineStr">
        <is>
          <t>Las tres respuestas son 409 con error.codigo = INVALID_STATE_TRANSITION. El estado y el historial no cambian.</t>
        </is>
      </c>
      <c r="N17" s="17" t="inlineStr">
        <is>
          <t>Entrega 1</t>
        </is>
      </c>
      <c r="O17" s="17" t="inlineStr">
        <is>
          <t>Alonso Vera</t>
        </is>
      </c>
      <c r="P17" s="18" t="inlineStr">
        <is>
          <t>Diseñado</t>
        </is>
      </c>
    </row>
    <row r="18" ht="39.75" customHeight="1" s="13">
      <c r="A18" s="17" t="inlineStr">
        <is>
          <t>PO-PUB-03</t>
        </is>
      </c>
      <c r="B18" s="17" t="inlineStr">
        <is>
          <t>03 Publicar evento (HU-04)</t>
        </is>
      </c>
      <c r="C18" s="17" t="inlineStr">
        <is>
          <t>Precondiciones de publicación: hora de término obligatoria</t>
        </is>
      </c>
      <c r="D18" s="17" t="inlineStr">
        <is>
          <t>HU-04</t>
        </is>
      </c>
      <c r="E18" s="17" t="inlineStr">
        <is>
          <t>R3</t>
        </is>
      </c>
      <c r="F18" s="17" t="inlineStr">
        <is>
          <t>Alto</t>
        </is>
      </c>
      <c r="G18" s="17" t="inlineStr">
        <is>
          <t>Alta</t>
        </is>
      </c>
      <c r="H18" s="17" t="inlineStr">
        <is>
          <t>Sistema</t>
        </is>
      </c>
      <c r="I18" s="17" t="inlineStr">
        <is>
          <t>Funcional</t>
        </is>
      </c>
      <c r="J18" s="17" t="inlineStr">
        <is>
          <t>Tabla de decisión</t>
        </is>
      </c>
      <c r="K18" s="17" t="inlineStr">
        <is>
          <t>Org A crea un Borrador sin hora_fin_evento (campo opcional en la creación).</t>
        </is>
      </c>
      <c r="L18" s="17" t="inlineStr">
        <is>
          <t>1) POST …/publicar sobre ese Borrador.
2) Crear otro Borrador igual pero con hora_fin_evento = 20:00 y publicarlo.</t>
        </is>
      </c>
      <c r="M18" s="17" t="inlineStr">
        <is>
          <t>El paso 1 responde 400 VALIDATION_ERROR con detalles[campo = hora_fin_evento]; sigue en BORRADOR. El paso 2 responde 200.</t>
        </is>
      </c>
      <c r="N18" s="17" t="inlineStr">
        <is>
          <t>Entrega 1</t>
        </is>
      </c>
      <c r="O18" s="17" t="inlineStr">
        <is>
          <t>Alonso Vera</t>
        </is>
      </c>
      <c r="P18" s="18" t="inlineStr">
        <is>
          <t>Diseñado</t>
        </is>
      </c>
    </row>
    <row r="19" ht="39.75" customHeight="1" s="13">
      <c r="A19" s="17" t="inlineStr">
        <is>
          <t>PO-PUB-04</t>
        </is>
      </c>
      <c r="B19" s="17" t="inlineStr">
        <is>
          <t>03 Publicar evento (HU-04)</t>
        </is>
      </c>
      <c r="C19" s="17" t="inlineStr">
        <is>
          <t>Publicaciones simultáneas del mismo Borrador</t>
        </is>
      </c>
      <c r="D19" s="17" t="inlineStr">
        <is>
          <t>HU-04</t>
        </is>
      </c>
      <c r="E19" s="17" t="inlineStr">
        <is>
          <t>R3, R9</t>
        </is>
      </c>
      <c r="F19" s="17" t="inlineStr">
        <is>
          <t>Alto</t>
        </is>
      </c>
      <c r="G19" s="17" t="inlineStr">
        <is>
          <t>Alta</t>
        </is>
      </c>
      <c r="H19" s="17" t="inlineStr">
        <is>
          <t>Sistema</t>
        </is>
      </c>
      <c r="I19" s="17" t="inlineStr">
        <is>
          <t>No funcional</t>
        </is>
      </c>
      <c r="J19" s="17" t="inlineStr">
        <is>
          <t>Predicción de errores / checklist</t>
        </is>
      </c>
      <c r="K19" s="17" t="inlineStr">
        <is>
          <t>Un Borrador propio de Org A. Newman con varias iteraciones o curl en paralelo (xargs -P 10).</t>
        </is>
      </c>
      <c r="L19" s="17" t="inlineStr">
        <is>
          <t>1) Lanzar 2 solicitudes POST …/publicar simultáneas.
2) Repetir con un Borrador nuevo y 10 solicitudes simultáneas.
3) Contar respuestas y revisar cambios_estado_evento en Compass.</t>
        </is>
      </c>
      <c r="M19" s="17" t="inlineStr">
        <is>
          <t>Exactamente una respuesta 200 y el resto 409 INVALID_STATE_TRANSITION. Un solo registro BORRADOR→PUBLICADO en el historial.</t>
        </is>
      </c>
      <c r="N19" s="17" t="inlineStr">
        <is>
          <t>Entrega 1</t>
        </is>
      </c>
      <c r="O19" s="17" t="inlineStr">
        <is>
          <t>Christopher Okinggton</t>
        </is>
      </c>
      <c r="P19" s="18" t="inlineStr">
        <is>
          <t>Diseñado</t>
        </is>
      </c>
    </row>
    <row r="20" ht="51.75" customHeight="1" s="13">
      <c r="A20" s="17" t="inlineStr">
        <is>
          <t>PO-PUB-05</t>
        </is>
      </c>
      <c r="B20" s="17" t="inlineStr">
        <is>
          <t>03 Publicar evento (HU-04)</t>
        </is>
      </c>
      <c r="C20" s="17" t="inlineStr">
        <is>
          <t>Exploratorio de publicar desde la UI</t>
        </is>
      </c>
      <c r="D20" s="17" t="inlineStr">
        <is>
          <t>HU-04</t>
        </is>
      </c>
      <c r="E20" s="17" t="inlineStr">
        <is>
          <t>R3, R12</t>
        </is>
      </c>
      <c r="F20" s="17" t="inlineStr">
        <is>
          <t>Alto</t>
        </is>
      </c>
      <c r="G20" s="17" t="inlineStr">
        <is>
          <t>Alta</t>
        </is>
      </c>
      <c r="H20" s="17" t="inlineStr">
        <is>
          <t>Sistema</t>
        </is>
      </c>
      <c r="I20" s="17" t="inlineStr">
        <is>
          <t>No funcional</t>
        </is>
      </c>
      <c r="J20" s="17" t="inlineStr">
        <is>
          <t>Exploratorio</t>
        </is>
      </c>
      <c r="K20" s="17" t="inlineStr">
        <is>
          <t>Charter de 30 min en dos pestañas con la misma sesión de Org A.</t>
        </is>
      </c>
      <c r="L20" s="17" t="inlineStr">
        <is>
          <t>1) Abrir la confirmación de publicar y pulsar Cancelar.
2) Confirmar la publicación y revisar badge y filtros.
3) En la otra pestaña (con la lista desactualizada) intentar publicar el mismo evento.</t>
        </is>
      </c>
      <c r="M20" s="17" t="inlineStr">
        <is>
          <t>Cancelar no publica; confirmar publica y el badge cambia a Publicado; el segundo intento muestra un error claro (409), sin romper la lista.</t>
        </is>
      </c>
      <c r="N20" s="17" t="inlineStr">
        <is>
          <t>Entrega 1</t>
        </is>
      </c>
      <c r="O20" s="17" t="inlineStr">
        <is>
          <t>Joaquín Martínez</t>
        </is>
      </c>
      <c r="P20" s="18" t="inlineStr">
        <is>
          <t>Postergado</t>
        </is>
      </c>
    </row>
    <row r="21" ht="75.75" customHeight="1" s="13">
      <c r="A21" s="17" t="inlineStr">
        <is>
          <t>PO-EXP-01</t>
        </is>
      </c>
      <c r="B21" s="17" t="inlineStr">
        <is>
          <t>04 Visibilidad por estado (integración)</t>
        </is>
      </c>
      <c r="C21" s="17" t="inlineStr">
        <is>
          <t>Estado × endpoints de Catálogo</t>
        </is>
      </c>
      <c r="D21" s="17" t="inlineStr">
        <is>
          <t>HU-04</t>
        </is>
      </c>
      <c r="E21" s="17" t="inlineStr">
        <is>
          <t>R4</t>
        </is>
      </c>
      <c r="F21" s="17" t="inlineStr">
        <is>
          <t>Alto</t>
        </is>
      </c>
      <c r="G21" s="17" t="inlineStr">
        <is>
          <t>Alta</t>
        </is>
      </c>
      <c r="H21" s="17" t="inlineStr">
        <is>
          <t>Integración</t>
        </is>
      </c>
      <c r="I21" s="17" t="inlineStr">
        <is>
          <t>Funcional</t>
        </is>
      </c>
      <c r="J21" s="17" t="inlineStr">
        <is>
          <t>Tabla de decisión</t>
        </is>
      </c>
      <c r="K21" s="17" t="inlineStr">
        <is>
          <t>Seed. Sin cookie (Catálogo no usa sesión).</t>
        </is>
      </c>
      <c r="L21" s="17" t="inlineStr">
        <is>
          <t>1) GET /api/v1/organizador/eventos/proximos.
2) GET /api/v1/organizador/eventos/{id} para un evento de cada estado: …a01 Borrador, …a02 Publicado, …a04 Finalizado, …a05 Cancelado.
3) POST /api/v1/organizador/eventos/buscar con {"categoria":"tecnologia"}.</t>
        </is>
      </c>
      <c r="M21" s="17" t="inlineStr">
        <is>
          <t>Próximos y buscar sólo traen eventos PUBLICADO (y en próximos, fecha de hoy o futura). El detalle responde 200 sólo para el Publicado; Borrador, Finalizado y Cancelado dan 404 EVENT_NOT_FOUND.</t>
        </is>
      </c>
      <c r="N21" s="17" t="inlineStr">
        <is>
          <t>Entrega 1</t>
        </is>
      </c>
      <c r="O21" s="17" t="inlineStr">
        <is>
          <t>Christopher Okinggton</t>
        </is>
      </c>
      <c r="P21" s="18" t="inlineStr">
        <is>
          <t>Diseñado</t>
        </is>
      </c>
    </row>
    <row r="22" ht="51.75" customHeight="1" s="13">
      <c r="A22" s="17" t="inlineStr">
        <is>
          <t>PO-EXP-02</t>
        </is>
      </c>
      <c r="B22" s="17" t="inlineStr">
        <is>
          <t>04 Visibilidad por estado (integración)</t>
        </is>
      </c>
      <c r="C22" s="17" t="inlineStr">
        <is>
          <t>Estado × endpoints de Promociones y de Entradas/Check-in</t>
        </is>
      </c>
      <c r="D22" s="17" t="inlineStr">
        <is>
          <t>HU-04</t>
        </is>
      </c>
      <c r="E22" s="17" t="inlineStr">
        <is>
          <t>R4</t>
        </is>
      </c>
      <c r="F22" s="17" t="inlineStr">
        <is>
          <t>Alto</t>
        </is>
      </c>
      <c r="G22" s="17" t="inlineStr">
        <is>
          <t>Alta</t>
        </is>
      </c>
      <c r="H22" s="17" t="inlineStr">
        <is>
          <t>Integración</t>
        </is>
      </c>
      <c r="I22" s="17" t="inlineStr">
        <is>
          <t>Funcional</t>
        </is>
      </c>
      <c r="J22" s="17" t="inlineStr">
        <is>
          <t>Tabla de decisión</t>
        </is>
      </c>
      <c r="K22" s="17" t="inlineStr">
        <is>
          <t>Seed. Cookie de staff para el GET compartido.</t>
        </is>
      </c>
      <c r="L22" s="17" t="inlineStr">
        <is>
          <t>1) GET /api/v1/panel/eventos-disponibles.
2) Con token-staff: GET /api/v1/panel/eventos/{id} para un evento de cada estado.
3) Repetir el paso 2 con token-org-a.</t>
        </is>
      </c>
      <c r="M22" s="17" t="inlineStr">
        <is>
          <t>Promociones sólo lista eventos PUBLICADO con id, nombre y fecha. El GET compartido responde 200 para Publicado, Finalizado y Cancelado y 404 para Borrador.</t>
        </is>
      </c>
      <c r="N22" s="17" t="inlineStr">
        <is>
          <t>Entrega 1</t>
        </is>
      </c>
      <c r="O22" s="17" t="inlineStr">
        <is>
          <t>Christopher Okinggton</t>
        </is>
      </c>
      <c r="P22" s="18" t="inlineStr">
        <is>
          <t>Diseñado</t>
        </is>
      </c>
    </row>
    <row r="23" ht="51.75" customHeight="1" s="13">
      <c r="A23" s="17" t="inlineStr">
        <is>
          <t>PO-EXP-03</t>
        </is>
      </c>
      <c r="B23" s="17" t="inlineStr">
        <is>
          <t>04 Visibilidad por estado (integración)</t>
        </is>
      </c>
      <c r="C23" s="17" t="inlineStr">
        <is>
          <t>Historial de un Borrador sin sesión</t>
        </is>
      </c>
      <c r="D23" s="17" t="inlineStr">
        <is>
          <t>HU-04</t>
        </is>
      </c>
      <c r="E23" s="17" t="inlineStr">
        <is>
          <t>R4, R8</t>
        </is>
      </c>
      <c r="F23" s="17" t="inlineStr">
        <is>
          <t>Alto</t>
        </is>
      </c>
      <c r="G23" s="17" t="inlineStr">
        <is>
          <t>Alta</t>
        </is>
      </c>
      <c r="H23" s="17" t="inlineStr">
        <is>
          <t>Integración</t>
        </is>
      </c>
      <c r="I23" s="17" t="inlineStr">
        <is>
          <t>No funcional</t>
        </is>
      </c>
      <c r="J23" s="17" t="inlineStr">
        <is>
          <t>Predicción de errores / checklist</t>
        </is>
      </c>
      <c r="K23" s="17" t="inlineStr">
        <is>
          <t>Seed. Sin cookie.</t>
        </is>
      </c>
      <c r="L23" s="17" t="inlineStr">
        <is>
          <t>1) GET /api/v1/panel/eventos/66f1a0000000000000000001/cambios-estado (Borrador de Org A).
2) Repetir con un id inexistente.
3) Comparar con el contrato de Notificaciones v1.2.</t>
        </is>
      </c>
      <c r="M23" s="17" t="inlineStr">
        <is>
          <t>Resultado esperado de seguridad: no se expone información de eventos no publicados sin sesión. Si el servicio responde 200 con el historial del Borrador, se registra un defecto (severidad Menor, prioridad Media) y se consulta a TITEC; el id inexistente responde 404.</t>
        </is>
      </c>
      <c r="N23" s="17" t="inlineStr">
        <is>
          <t>Entrega 1</t>
        </is>
      </c>
      <c r="O23" s="17" t="inlineStr">
        <is>
          <t>Christopher Okinggton</t>
        </is>
      </c>
      <c r="P23" s="18" t="inlineStr">
        <is>
          <t>Diseñado</t>
        </is>
      </c>
    </row>
    <row r="24" ht="63.75" customHeight="1" s="13">
      <c r="A24" s="17" t="inlineStr">
        <is>
          <t>PO-EXP-04</t>
        </is>
      </c>
      <c r="B24" s="17" t="inlineStr">
        <is>
          <t>04 Visibilidad por estado (integración)</t>
        </is>
      </c>
      <c r="C24" s="17" t="inlineStr">
        <is>
          <t>Acceso directo a endpoints de integración sin pasar por el Gateway</t>
        </is>
      </c>
      <c r="D24" s="17" t="inlineStr">
        <is>
          <t>HU-04</t>
        </is>
      </c>
      <c r="E24" s="17" t="inlineStr">
        <is>
          <t>R4, R1</t>
        </is>
      </c>
      <c r="F24" s="17" t="inlineStr">
        <is>
          <t>Alto</t>
        </is>
      </c>
      <c r="G24" s="17" t="inlineStr">
        <is>
          <t>Alta</t>
        </is>
      </c>
      <c r="H24" s="17" t="inlineStr">
        <is>
          <t>Integración</t>
        </is>
      </c>
      <c r="I24" s="17" t="inlineStr">
        <is>
          <t>No funcional</t>
        </is>
      </c>
      <c r="J24" s="17" t="inlineStr">
        <is>
          <t>Predicción de errores / checklist</t>
        </is>
      </c>
      <c r="K24" s="17" t="inlineStr">
        <is>
          <t>El OpenAPI declara acceso restringido a red interna vía API Gateway; el mecanismo está pendiente.</t>
        </is>
      </c>
      <c r="L24" s="17" t="inlineStr">
        <is>
          <t>1) Llamar sin cookie a /organizador/eventos/proximos, /panel/eventos-disponibles y /panel/eventos/{id}/cambios-estado desde la máquina del tester.
2) Registrar qué responde cada uno y si hay algún control de origen (cabeceras, IP).</t>
        </is>
      </c>
      <c r="M24" s="17" t="inlineStr">
        <is>
          <t>Se documenta que hoy no hay control en el propio servicio. Se anota como riesgo aceptado hasta que TITEC defina el Gateway y se repite la prueba en el Sprint 4.</t>
        </is>
      </c>
      <c r="N24" s="17" t="inlineStr">
        <is>
          <t>Entrega 1</t>
        </is>
      </c>
      <c r="O24" s="17" t="inlineStr">
        <is>
          <t>Christopher Okinggton</t>
        </is>
      </c>
      <c r="P24" s="18" t="inlineStr">
        <is>
          <t>Diseñado</t>
        </is>
      </c>
    </row>
    <row r="25" ht="75.75" customHeight="1" s="13">
      <c r="A25" s="17" t="inlineStr">
        <is>
          <t>PO-VAL-01</t>
        </is>
      </c>
      <c r="B25" s="17" t="inlineStr">
        <is>
          <t>05 Crear evento: validación de datos (HU-01)</t>
        </is>
      </c>
      <c r="C25" s="17" t="inlineStr">
        <is>
          <t>Creación válida: mínima y completa</t>
        </is>
      </c>
      <c r="D25" s="17" t="inlineStr">
        <is>
          <t>HU-01</t>
        </is>
      </c>
      <c r="E25" s="17" t="inlineStr">
        <is>
          <t>R5</t>
        </is>
      </c>
      <c r="F25" s="17" t="inlineStr">
        <is>
          <t>Medio</t>
        </is>
      </c>
      <c r="G25" s="17" t="inlineStr">
        <is>
          <t>Media</t>
        </is>
      </c>
      <c r="H25" s="17" t="inlineStr">
        <is>
          <t>Sistema</t>
        </is>
      </c>
      <c r="I25" s="17" t="inlineStr">
        <is>
          <t>Funcional</t>
        </is>
      </c>
      <c r="J25" s="17" t="inlineStr">
        <is>
          <t>Partición de equivalencia</t>
        </is>
      </c>
      <c r="K25" s="17" t="inlineStr">
        <is>
          <t>Cookie de Org A.</t>
        </is>
      </c>
      <c r="L25" s="17" t="inlineStr">
        <is>
          <t>1) POST /api/v1/panel/eventos con sólo los campos obligatorios: nombre_evento, descripcion, fecha_evento (futura), hora_evento, direccion_evento.
2) POST con todos los campos (categoria, imagen, cantidad_entradas, tipo_entrada, precio, hora_fin_evento).
3) GET …/cambios-estado del evento creado.</t>
        </is>
      </c>
      <c r="M25" s="17" t="inlineStr">
        <is>
          <t>201 con estado_gestion = BORRADOR, id_organizador = id de Org A, campos opcionales en null (caso mínimo) y fechas ISO. El historial tiene un cambio null → BORRADOR.</t>
        </is>
      </c>
      <c r="N25" s="17" t="inlineStr">
        <is>
          <t>Entrega 1</t>
        </is>
      </c>
      <c r="O25" s="17" t="inlineStr">
        <is>
          <t>Alonso Vera</t>
        </is>
      </c>
      <c r="P25" s="18" t="inlineStr">
        <is>
          <t>Postergado</t>
        </is>
      </c>
    </row>
    <row r="26" ht="39.75" customHeight="1" s="13">
      <c r="A26" s="17" t="inlineStr">
        <is>
          <t>PO-VAL-02</t>
        </is>
      </c>
      <c r="B26" s="17" t="inlineStr">
        <is>
          <t>05 Crear evento: validación de datos (HU-01)</t>
        </is>
      </c>
      <c r="C26" s="17" t="inlineStr">
        <is>
          <t>Campos obligatorios ausentes</t>
        </is>
      </c>
      <c r="D26" s="17" t="inlineStr">
        <is>
          <t>HU-01</t>
        </is>
      </c>
      <c r="E26" s="17" t="inlineStr">
        <is>
          <t>R5</t>
        </is>
      </c>
      <c r="F26" s="17" t="inlineStr">
        <is>
          <t>Medio</t>
        </is>
      </c>
      <c r="G26" s="17" t="inlineStr">
        <is>
          <t>Media</t>
        </is>
      </c>
      <c r="H26" s="17" t="inlineStr">
        <is>
          <t>Sistema</t>
        </is>
      </c>
      <c r="I26" s="17" t="inlineStr">
        <is>
          <t>Funcional</t>
        </is>
      </c>
      <c r="J26" s="17" t="inlineStr">
        <is>
          <t>Partición de equivalencia</t>
        </is>
      </c>
      <c r="K26" s="17" t="inlineStr">
        <is>
          <t>Cookie de Org A.</t>
        </is>
      </c>
      <c r="L26" s="17" t="inlineStr">
        <is>
          <t>1) POST con cada campo obligatorio omitido, uno por vez (5 envíos).
2) POST con el cuerpo {}.</t>
        </is>
      </c>
      <c r="M26" s="17" t="inlineStr">
        <is>
          <t>400 VALIDATION_ERROR con detalles que nombran el campo faltante y el mensaje «Este campo es obligatorio». El cuerpo vacío lista los 5 campos. No se crea nada.</t>
        </is>
      </c>
      <c r="N26" s="17" t="inlineStr">
        <is>
          <t>Entrega 1</t>
        </is>
      </c>
      <c r="O26" s="17" t="inlineStr">
        <is>
          <t>Alonso Vera</t>
        </is>
      </c>
      <c r="P26" s="18" t="inlineStr">
        <is>
          <t>Diseñado</t>
        </is>
      </c>
    </row>
    <row r="27" ht="27.75" customHeight="1" s="13">
      <c r="A27" s="17" t="inlineStr">
        <is>
          <t>PO-VAL-03</t>
        </is>
      </c>
      <c r="B27" s="17" t="inlineStr">
        <is>
          <t>05 Crear evento: validación de datos (HU-01)</t>
        </is>
      </c>
      <c r="C27" s="17" t="inlineStr">
        <is>
          <t>Límites de nombre_evento (3 a 120 caracteres)</t>
        </is>
      </c>
      <c r="D27" s="17" t="inlineStr">
        <is>
          <t>HU-01</t>
        </is>
      </c>
      <c r="E27" s="17" t="inlineStr">
        <is>
          <t>R5</t>
        </is>
      </c>
      <c r="F27" s="17" t="inlineStr">
        <is>
          <t>Medio</t>
        </is>
      </c>
      <c r="G27" s="17" t="inlineStr">
        <is>
          <t>Media</t>
        </is>
      </c>
      <c r="H27" s="17" t="inlineStr">
        <is>
          <t>Sistema</t>
        </is>
      </c>
      <c r="I27" s="17" t="inlineStr">
        <is>
          <t>Funcional</t>
        </is>
      </c>
      <c r="J27" s="17" t="inlineStr">
        <is>
          <t>Valores límite</t>
        </is>
      </c>
      <c r="K27" s="17" t="inlineStr">
        <is>
          <t>Cookie de Org A.</t>
        </is>
      </c>
      <c r="L27" s="17" t="inlineStr">
        <is>
          <t>1) Probar con 2, 3, 120 y 121 caracteres.
2) Probar «  ab  » (con espacios que se recortan).</t>
        </is>
      </c>
      <c r="M27" s="17" t="inlineStr">
        <is>
          <t>2 y 121 caracteres: 400 con detalle en nombre_evento. 3 y 120: 201. «  ab  » se evalúa ya recortado: 400.</t>
        </is>
      </c>
      <c r="N27" s="17" t="inlineStr">
        <is>
          <t>Entrega 1</t>
        </is>
      </c>
      <c r="O27" s="17" t="inlineStr">
        <is>
          <t>Alonso Vera</t>
        </is>
      </c>
      <c r="P27" s="18" t="inlineStr">
        <is>
          <t>Diseñado</t>
        </is>
      </c>
    </row>
    <row r="28" ht="27.75" customHeight="1" s="13">
      <c r="A28" s="17" t="inlineStr">
        <is>
          <t>PO-VAL-04</t>
        </is>
      </c>
      <c r="B28" s="17" t="inlineStr">
        <is>
          <t>05 Crear evento: validación de datos (HU-01)</t>
        </is>
      </c>
      <c r="C28" s="17" t="inlineStr">
        <is>
          <t>Límites de descripcion (1 a 2000 caracteres)</t>
        </is>
      </c>
      <c r="D28" s="17" t="inlineStr">
        <is>
          <t>HU-01</t>
        </is>
      </c>
      <c r="E28" s="17" t="inlineStr">
        <is>
          <t>R5</t>
        </is>
      </c>
      <c r="F28" s="17" t="inlineStr">
        <is>
          <t>Medio</t>
        </is>
      </c>
      <c r="G28" s="17" t="inlineStr">
        <is>
          <t>Media</t>
        </is>
      </c>
      <c r="H28" s="17" t="inlineStr">
        <is>
          <t>Sistema</t>
        </is>
      </c>
      <c r="I28" s="17" t="inlineStr">
        <is>
          <t>Funcional</t>
        </is>
      </c>
      <c r="J28" s="17" t="inlineStr">
        <is>
          <t>Valores límite</t>
        </is>
      </c>
      <c r="K28" s="17" t="inlineStr">
        <is>
          <t>Cookie de Org A.</t>
        </is>
      </c>
      <c r="L28" s="17" t="inlineStr">
        <is>
          <t>1) Probar con vacío, 1, 2000 y 2001 caracteres.
2) Probar sólo espacios.</t>
        </is>
      </c>
      <c r="M28" s="17" t="inlineStr">
        <is>
          <t>Vacío, sólo espacios y 2001: 400. 1 y 2000: 201.</t>
        </is>
      </c>
      <c r="N28" s="17" t="inlineStr">
        <is>
          <t>Entrega 1</t>
        </is>
      </c>
      <c r="O28" s="17" t="inlineStr">
        <is>
          <t>Alonso Vera</t>
        </is>
      </c>
      <c r="P28" s="18" t="inlineStr">
        <is>
          <t>Postergado</t>
        </is>
      </c>
    </row>
    <row r="29" ht="27.75" customHeight="1" s="13">
      <c r="A29" s="17" t="inlineStr">
        <is>
          <t>PO-VAL-05</t>
        </is>
      </c>
      <c r="B29" s="17" t="inlineStr">
        <is>
          <t>05 Crear evento: validación de datos (HU-01)</t>
        </is>
      </c>
      <c r="C29" s="17" t="inlineStr">
        <is>
          <t>Límites de direccion_evento (3 a 200 caracteres)</t>
        </is>
      </c>
      <c r="D29" s="17" t="inlineStr">
        <is>
          <t>HU-01</t>
        </is>
      </c>
      <c r="E29" s="17" t="inlineStr">
        <is>
          <t>R5</t>
        </is>
      </c>
      <c r="F29" s="17" t="inlineStr">
        <is>
          <t>Medio</t>
        </is>
      </c>
      <c r="G29" s="17" t="inlineStr">
        <is>
          <t>Media</t>
        </is>
      </c>
      <c r="H29" s="17" t="inlineStr">
        <is>
          <t>Sistema</t>
        </is>
      </c>
      <c r="I29" s="17" t="inlineStr">
        <is>
          <t>Funcional</t>
        </is>
      </c>
      <c r="J29" s="17" t="inlineStr">
        <is>
          <t>Valores límite</t>
        </is>
      </c>
      <c r="K29" s="17" t="inlineStr">
        <is>
          <t>Cookie de Org A.</t>
        </is>
      </c>
      <c r="L29" s="17" t="inlineStr">
        <is>
          <t>1) Probar con 2, 3, 200 y 201 caracteres.</t>
        </is>
      </c>
      <c r="M29" s="17" t="inlineStr">
        <is>
          <t>2 y 201: 400 con detalle en direccion_evento. 3 y 200: 201.</t>
        </is>
      </c>
      <c r="N29" s="17" t="inlineStr">
        <is>
          <t>Entrega 1</t>
        </is>
      </c>
      <c r="O29" s="17" t="inlineStr">
        <is>
          <t>Alonso Vera</t>
        </is>
      </c>
      <c r="P29" s="18" t="inlineStr">
        <is>
          <t>Postergado</t>
        </is>
      </c>
    </row>
    <row r="30" ht="27.75" customHeight="1" s="13">
      <c r="A30" s="17" t="inlineStr">
        <is>
          <t>PO-VAL-06</t>
        </is>
      </c>
      <c r="B30" s="17" t="inlineStr">
        <is>
          <t>05 Crear evento: validación de datos (HU-01)</t>
        </is>
      </c>
      <c r="C30" s="17" t="inlineStr">
        <is>
          <t>Límites de cantidad_entradas (1 a 100000)</t>
        </is>
      </c>
      <c r="D30" s="17" t="inlineStr">
        <is>
          <t>HU-01</t>
        </is>
      </c>
      <c r="E30" s="17" t="inlineStr">
        <is>
          <t>R5</t>
        </is>
      </c>
      <c r="F30" s="17" t="inlineStr">
        <is>
          <t>Medio</t>
        </is>
      </c>
      <c r="G30" s="17" t="inlineStr">
        <is>
          <t>Media</t>
        </is>
      </c>
      <c r="H30" s="17" t="inlineStr">
        <is>
          <t>Sistema</t>
        </is>
      </c>
      <c r="I30" s="17" t="inlineStr">
        <is>
          <t>Funcional</t>
        </is>
      </c>
      <c r="J30" s="17" t="inlineStr">
        <is>
          <t>Valores límite</t>
        </is>
      </c>
      <c r="K30" s="17" t="inlineStr">
        <is>
          <t>Cookie de Org A.</t>
        </is>
      </c>
      <c r="L30" s="17" t="inlineStr">
        <is>
          <t>1) Probar con 0, 1, 100000 y 100001.
2) Probar 1.5, "10" (texto) y null.</t>
        </is>
      </c>
      <c r="M30" s="17" t="inlineStr">
        <is>
          <t>0, 100001, 1.5 y "10": 400. 1, 100000 y null: 201.</t>
        </is>
      </c>
      <c r="N30" s="17" t="inlineStr">
        <is>
          <t>Entrega 1</t>
        </is>
      </c>
      <c r="O30" s="17" t="inlineStr">
        <is>
          <t>Alonso Vera</t>
        </is>
      </c>
      <c r="P30" s="18" t="inlineStr">
        <is>
          <t>Diseñado</t>
        </is>
      </c>
    </row>
    <row r="31" ht="39.75" customHeight="1" s="13">
      <c r="A31" s="17" t="inlineStr">
        <is>
          <t>PO-VAL-07</t>
        </is>
      </c>
      <c r="B31" s="17" t="inlineStr">
        <is>
          <t>05 Crear evento: validación de datos (HU-01)</t>
        </is>
      </c>
      <c r="C31" s="17" t="inlineStr">
        <is>
          <t>Límites de precio (0 a 10.000.000 CLP, entero)</t>
        </is>
      </c>
      <c r="D31" s="17" t="inlineStr">
        <is>
          <t>HU-01</t>
        </is>
      </c>
      <c r="E31" s="17" t="inlineStr">
        <is>
          <t>R5</t>
        </is>
      </c>
      <c r="F31" s="17" t="inlineStr">
        <is>
          <t>Medio</t>
        </is>
      </c>
      <c r="G31" s="17" t="inlineStr">
        <is>
          <t>Media</t>
        </is>
      </c>
      <c r="H31" s="17" t="inlineStr">
        <is>
          <t>Sistema</t>
        </is>
      </c>
      <c r="I31" s="17" t="inlineStr">
        <is>
          <t>Funcional</t>
        </is>
      </c>
      <c r="J31" s="17" t="inlineStr">
        <is>
          <t>Valores límite</t>
        </is>
      </c>
      <c r="K31" s="17" t="inlineStr">
        <is>
          <t>Cookie de Org A. Usar tipo_entrada = PAGADA salvo indicación.</t>
        </is>
      </c>
      <c r="L31" s="17" t="inlineStr">
        <is>
          <t>1) PAGADA con precio -1, 1, 10000000 y 10000001.
2) PAGADA con precio 99.5.
3) GRATUITA con precio 0.</t>
        </is>
      </c>
      <c r="M31" s="17" t="inlineStr">
        <is>
          <t>-1, 10000001 y 99.5: 400 (no 500). 1 y 10000000: 201. GRATUITA con precio 0: 201.</t>
        </is>
      </c>
      <c r="N31" s="17" t="inlineStr">
        <is>
          <t>Entrega 1</t>
        </is>
      </c>
      <c r="O31" s="17" t="inlineStr">
        <is>
          <t>Alonso Vera</t>
        </is>
      </c>
      <c r="P31" s="18" t="inlineStr">
        <is>
          <t>Postergado</t>
        </is>
      </c>
    </row>
    <row r="32" ht="39.75" customHeight="1" s="13">
      <c r="A32" s="17" t="inlineStr">
        <is>
          <t>PO-VAL-08</t>
        </is>
      </c>
      <c r="B32" s="17" t="inlineStr">
        <is>
          <t>05 Crear evento: validación de datos (HU-01)</t>
        </is>
      </c>
      <c r="C32" s="17" t="inlineStr">
        <is>
          <t>Tipo de entrada × precio</t>
        </is>
      </c>
      <c r="D32" s="17" t="inlineStr">
        <is>
          <t>HU-01</t>
        </is>
      </c>
      <c r="E32" s="17" t="inlineStr">
        <is>
          <t>R5</t>
        </is>
      </c>
      <c r="F32" s="17" t="inlineStr">
        <is>
          <t>Medio</t>
        </is>
      </c>
      <c r="G32" s="17" t="inlineStr">
        <is>
          <t>Media</t>
        </is>
      </c>
      <c r="H32" s="17" t="inlineStr">
        <is>
          <t>Sistema</t>
        </is>
      </c>
      <c r="I32" s="17" t="inlineStr">
        <is>
          <t>Funcional</t>
        </is>
      </c>
      <c r="J32" s="17" t="inlineStr">
        <is>
          <t>Tabla de decisión</t>
        </is>
      </c>
      <c r="K32" s="17" t="inlineStr">
        <is>
          <t>Cookie de Org A.</t>
        </is>
      </c>
      <c r="L32" s="17" t="inlineStr">
        <is>
          <t>Probar las combinaciones: (PAGADA, 5000), (PAGADA, sin precio), (PAGADA, 0), (GRATUITA, sin precio), (GRATUITA, 5000), (sin tipo, 5000), (tipo «VIP»).</t>
        </is>
      </c>
      <c r="M32" s="17" t="inlineStr">
        <is>
          <t>201, 400 (precio requerido), 400, 201, 400 («un evento gratuito no puede tener precio»), se registra lo que responda (el código actual lo acepta: consultar a TITEC), 400 por tipo inválido.</t>
        </is>
      </c>
      <c r="N32" s="17" t="inlineStr">
        <is>
          <t>Entrega 1</t>
        </is>
      </c>
      <c r="O32" s="17" t="inlineStr">
        <is>
          <t>Alonso Vera</t>
        </is>
      </c>
      <c r="P32" s="18" t="inlineStr">
        <is>
          <t>Diseñado</t>
        </is>
      </c>
    </row>
    <row r="33" ht="63.75" customHeight="1" s="13">
      <c r="A33" s="17" t="inlineStr">
        <is>
          <t>PO-VAL-09</t>
        </is>
      </c>
      <c r="B33" s="17" t="inlineStr">
        <is>
          <t>05 Crear evento: validación de datos (HU-01)</t>
        </is>
      </c>
      <c r="C33" s="17" t="inlineStr">
        <is>
          <t>Formatos inválidos y tipos de dato incorrectos</t>
        </is>
      </c>
      <c r="D33" s="17" t="inlineStr">
        <is>
          <t>HU-01</t>
        </is>
      </c>
      <c r="E33" s="17" t="inlineStr">
        <is>
          <t>R5</t>
        </is>
      </c>
      <c r="F33" s="17" t="inlineStr">
        <is>
          <t>Medio</t>
        </is>
      </c>
      <c r="G33" s="17" t="inlineStr">
        <is>
          <t>Media</t>
        </is>
      </c>
      <c r="H33" s="17" t="inlineStr">
        <is>
          <t>Sistema</t>
        </is>
      </c>
      <c r="I33" s="17" t="inlineStr">
        <is>
          <t>Funcional</t>
        </is>
      </c>
      <c r="J33" s="17" t="inlineStr">
        <is>
          <t>Partición de equivalencia</t>
        </is>
      </c>
      <c r="K33" s="17" t="inlineStr">
        <is>
          <t>Cookie de Org A.</t>
        </is>
      </c>
      <c r="L33" s="17" t="inlineStr">
        <is>
          <t>1) fecha_evento = «2026-13-40», «12-11-2026», «2026-2-3».
2) hora_evento = «24:00», «9:00», «09:60»; hora_fin_evento = «25:00».
3) imagen = «no-es-url».
4) nombre_evento numérico y fecha_evento numérica.</t>
        </is>
      </c>
      <c r="M33" s="17" t="inlineStr">
        <is>
          <t>Todos 400 VALIDATION_ERROR con el campo y un mensaje de formato (YYYY-MM-DD, HH:mm, URL válida). Ninguno responde 500.</t>
        </is>
      </c>
      <c r="N33" s="17" t="inlineStr">
        <is>
          <t>Entrega 1</t>
        </is>
      </c>
      <c r="O33" s="17" t="inlineStr">
        <is>
          <t>Alonso Vera</t>
        </is>
      </c>
      <c r="P33" s="18" t="inlineStr">
        <is>
          <t>Diseñado</t>
        </is>
      </c>
    </row>
    <row r="34" ht="63.75" customHeight="1" s="13">
      <c r="A34" s="17" t="inlineStr">
        <is>
          <t>PO-VAL-10</t>
        </is>
      </c>
      <c r="B34" s="17" t="inlineStr">
        <is>
          <t>05 Crear evento: validación de datos (HU-01)</t>
        </is>
      </c>
      <c r="C34" s="17" t="inlineStr">
        <is>
          <t>Robustez del cuerpo de la solicitud</t>
        </is>
      </c>
      <c r="D34" s="17" t="inlineStr">
        <is>
          <t>HU-01</t>
        </is>
      </c>
      <c r="E34" s="17" t="inlineStr">
        <is>
          <t>R5</t>
        </is>
      </c>
      <c r="F34" s="17" t="inlineStr">
        <is>
          <t>Medio</t>
        </is>
      </c>
      <c r="G34" s="17" t="inlineStr">
        <is>
          <t>Media</t>
        </is>
      </c>
      <c r="H34" s="17" t="inlineStr">
        <is>
          <t>Sistema</t>
        </is>
      </c>
      <c r="I34" s="17" t="inlineStr">
        <is>
          <t>No funcional</t>
        </is>
      </c>
      <c r="J34" s="17" t="inlineStr">
        <is>
          <t>Predicción de errores / checklist</t>
        </is>
      </c>
      <c r="K34" s="17" t="inlineStr">
        <is>
          <t>Cookie de Org A.</t>
        </is>
      </c>
      <c r="L34" s="17" t="inlineStr">
        <is>
          <t>1) JSON mal formado.
2) Cuerpo vacío y Content-Type text/plain.
3) Campo adicional no permitido.
4) Cuerpo mayor a 100 KB (descripcion de 200.000 caracteres).</t>
        </is>
      </c>
      <c r="M34" s="17" t="inlineStr">
        <is>
          <t>1: 400 INVALID_JSON. 2 y 3: 400 VALIDATION_ERROR. 4: se espera 413 o 400 con mensaje claro; nunca 500. El manejador de errores actual sólo reconoce el error de JSON inválido, por lo que el paso 4 podría devolver 500 INTERNAL_ERROR: si ocurre, se reporta como defecto.</t>
        </is>
      </c>
      <c r="N34" s="17" t="inlineStr">
        <is>
          <t>Entrega 1</t>
        </is>
      </c>
      <c r="O34" s="17" t="inlineStr">
        <is>
          <t>Christopher Okinggton</t>
        </is>
      </c>
      <c r="P34" s="18" t="inlineStr">
        <is>
          <t>Diseñado</t>
        </is>
      </c>
    </row>
    <row r="35" ht="51.75" customHeight="1" s="13">
      <c r="A35" s="17" t="inlineStr">
        <is>
          <t>PO-VAL-11</t>
        </is>
      </c>
      <c r="B35" s="17" t="inlineStr">
        <is>
          <t>05 Crear evento: validación de datos (HU-01)</t>
        </is>
      </c>
      <c r="C35" s="17" t="inlineStr">
        <is>
          <t>Exploratorio con caracteres especiales y URLs peligrosas</t>
        </is>
      </c>
      <c r="D35" s="17" t="inlineStr">
        <is>
          <t>HU-01</t>
        </is>
      </c>
      <c r="E35" s="17" t="inlineStr">
        <is>
          <t>R5, R12</t>
        </is>
      </c>
      <c r="F35" s="17" t="inlineStr">
        <is>
          <t>Medio</t>
        </is>
      </c>
      <c r="G35" s="17" t="inlineStr">
        <is>
          <t>Media</t>
        </is>
      </c>
      <c r="H35" s="17" t="inlineStr">
        <is>
          <t>Sistema</t>
        </is>
      </c>
      <c r="I35" s="17" t="inlineStr">
        <is>
          <t>No funcional</t>
        </is>
      </c>
      <c r="J35" s="17" t="inlineStr">
        <is>
          <t>Exploratorio</t>
        </is>
      </c>
      <c r="K35" s="17" t="inlineStr">
        <is>
          <t>Charter de 30 min en API y UI.</t>
        </is>
      </c>
      <c r="L35" s="17" t="inlineStr">
        <is>
          <t>1) Crear eventos con &lt;script&gt;alert(1)&lt;/script&gt;, emojis, comillas, saltos de línea y acentos en nombre y descripción.
2) Probar imagen = «javascript:alert(1)».
3) Ver los eventos en Mis eventos y Detalle.</t>
        </is>
      </c>
      <c r="M35" s="17" t="inlineStr">
        <is>
          <t>Los datos se guardan y se muestran como texto sin ejecutar código. Si la imagen «javascript:» se acepta, se verifica que la UI no la ejecute y se reporta como defecto de seguridad.</t>
        </is>
      </c>
      <c r="N35" s="17" t="inlineStr">
        <is>
          <t>Entrega 1</t>
        </is>
      </c>
      <c r="O35" s="17" t="inlineStr">
        <is>
          <t>Joaquín Martínez</t>
        </is>
      </c>
      <c r="P35" s="18" t="inlineStr">
        <is>
          <t>Postergado</t>
        </is>
      </c>
    </row>
    <row r="36" ht="51.75" customHeight="1" s="13">
      <c r="A36" s="17" t="inlineStr">
        <is>
          <t>PO-FEC-01</t>
        </is>
      </c>
      <c r="B36" s="17" t="inlineStr">
        <is>
          <t>06 Fechas y horas (HU-01)</t>
        </is>
      </c>
      <c r="C36" s="17" t="inlineStr">
        <is>
          <t>Límite de la fecha: ayer, hoy y mañana (America/Santiago)</t>
        </is>
      </c>
      <c r="D36" s="17" t="inlineStr">
        <is>
          <t>HU-01</t>
        </is>
      </c>
      <c r="E36" s="17" t="inlineStr">
        <is>
          <t>R6</t>
        </is>
      </c>
      <c r="F36" s="17" t="inlineStr">
        <is>
          <t>Medio</t>
        </is>
      </c>
      <c r="G36" s="17" t="inlineStr">
        <is>
          <t>Media</t>
        </is>
      </c>
      <c r="H36" s="17" t="inlineStr">
        <is>
          <t>Sistema</t>
        </is>
      </c>
      <c r="I36" s="17" t="inlineStr">
        <is>
          <t>Funcional</t>
        </is>
      </c>
      <c r="J36" s="17" t="inlineStr">
        <is>
          <t>Valores límite</t>
        </is>
      </c>
      <c r="K36" s="17" t="inlineStr">
        <is>
          <t>Cookie de Org A. Calcular las fechas con la hora de Chile; repetir entre las 21:00 y las 24:00 hora de Chile, cuando en UTC ya es el día siguiente.</t>
        </is>
      </c>
      <c r="L36" s="17" t="inlineStr">
        <is>
          <t>1) POST con fecha_evento = ayer, hoy y mañana.</t>
        </is>
      </c>
      <c r="M36" s="17" t="inlineStr">
        <is>
          <t>Ayer: 400 («La fecha del evento no puede ser anterior a hoy»). Hoy y mañana: 201, también en el horario en que UTC ya cambió de día.</t>
        </is>
      </c>
      <c r="N36" s="17" t="inlineStr">
        <is>
          <t>Entrega 1</t>
        </is>
      </c>
      <c r="O36" s="17" t="inlineStr">
        <is>
          <t>Alonso Vera</t>
        </is>
      </c>
      <c r="P36" s="18" t="inlineStr">
        <is>
          <t>Diseñado</t>
        </is>
      </c>
    </row>
    <row r="37" ht="39.75" customHeight="1" s="13">
      <c r="A37" s="17" t="inlineStr">
        <is>
          <t>PO-FEC-02</t>
        </is>
      </c>
      <c r="B37" s="17" t="inlineStr">
        <is>
          <t>06 Fechas y horas (HU-01)</t>
        </is>
      </c>
      <c r="C37" s="17" t="inlineStr">
        <is>
          <t>Horas de inicio y término, incluido el cruce de medianoche</t>
        </is>
      </c>
      <c r="D37" s="17" t="inlineStr">
        <is>
          <t>HU-01</t>
        </is>
      </c>
      <c r="E37" s="17" t="inlineStr">
        <is>
          <t>R6</t>
        </is>
      </c>
      <c r="F37" s="17" t="inlineStr">
        <is>
          <t>Medio</t>
        </is>
      </c>
      <c r="G37" s="17" t="inlineStr">
        <is>
          <t>Media</t>
        </is>
      </c>
      <c r="H37" s="17" t="inlineStr">
        <is>
          <t>Sistema</t>
        </is>
      </c>
      <c r="I37" s="17" t="inlineStr">
        <is>
          <t>Funcional</t>
        </is>
      </c>
      <c r="J37" s="17" t="inlineStr">
        <is>
          <t>Valores límite</t>
        </is>
      </c>
      <c r="K37" s="17" t="inlineStr">
        <is>
          <t>Cookie de Org A.</t>
        </is>
      </c>
      <c r="L37" s="17" t="inlineStr">
        <is>
          <t>1) hora_fin_evento igual a hora_evento, menor y mayor.
2) hora_fin_evento null.
3) Horas 00:00, 23:59 y 24:00.</t>
        </is>
      </c>
      <c r="M37" s="17" t="inlineStr">
        <is>
          <t>Fin igual, menor y mayor: 201 (menor o igual significa que termina el día siguiente). Null: 201 pero no publicable. 00:00 y 23:59: 201; 24:00: 400.</t>
        </is>
      </c>
      <c r="N37" s="17" t="inlineStr">
        <is>
          <t>Entrega 1</t>
        </is>
      </c>
      <c r="O37" s="17" t="inlineStr">
        <is>
          <t>Alonso Vera</t>
        </is>
      </c>
      <c r="P37" s="18" t="inlineStr">
        <is>
          <t>Postergado</t>
        </is>
      </c>
    </row>
    <row r="38" ht="27.75" customHeight="1" s="13">
      <c r="A38" s="17" t="inlineStr">
        <is>
          <t>PO-FEC-03</t>
        </is>
      </c>
      <c r="B38" s="17" t="inlineStr">
        <is>
          <t>06 Fechas y horas (HU-01)</t>
        </is>
      </c>
      <c r="C38" s="17" t="inlineStr">
        <is>
          <t>Fechas inexistentes y bisiestas</t>
        </is>
      </c>
      <c r="D38" s="17" t="inlineStr">
        <is>
          <t>HU-01</t>
        </is>
      </c>
      <c r="E38" s="17" t="inlineStr">
        <is>
          <t>R6</t>
        </is>
      </c>
      <c r="F38" s="17" t="inlineStr">
        <is>
          <t>Medio</t>
        </is>
      </c>
      <c r="G38" s="17" t="inlineStr">
        <is>
          <t>Media</t>
        </is>
      </c>
      <c r="H38" s="17" t="inlineStr">
        <is>
          <t>Sistema</t>
        </is>
      </c>
      <c r="I38" s="17" t="inlineStr">
        <is>
          <t>Funcional</t>
        </is>
      </c>
      <c r="J38" s="17" t="inlineStr">
        <is>
          <t>Partición de equivalencia</t>
        </is>
      </c>
      <c r="K38" s="17" t="inlineStr">
        <is>
          <t>Cookie de Org A.</t>
        </is>
      </c>
      <c r="L38" s="17" t="inlineStr">
        <is>
          <t>1) fecha_evento = 2026-02-29, 2026-04-31 y 2028-02-29.</t>
        </is>
      </c>
      <c r="M38" s="17" t="inlineStr">
        <is>
          <t>2026-02-29 y 2026-04-31: 400 con formato inválido. 2028-02-29: 201.</t>
        </is>
      </c>
      <c r="N38" s="17" t="inlineStr">
        <is>
          <t>Entrega 1</t>
        </is>
      </c>
      <c r="O38" s="17" t="inlineStr">
        <is>
          <t>Alonso Vera</t>
        </is>
      </c>
      <c r="P38" s="18" t="inlineStr">
        <is>
          <t>Postergado</t>
        </is>
      </c>
    </row>
    <row r="39" ht="51.75" customHeight="1" s="13">
      <c r="A39" s="17" t="inlineStr">
        <is>
          <t>PO-FEC-04</t>
        </is>
      </c>
      <c r="B39" s="17" t="inlineStr">
        <is>
          <t>06 Fechas y horas (HU-01)</t>
        </is>
      </c>
      <c r="C39" s="17" t="inlineStr">
        <is>
          <t>Exploratorio de eventos de hoy y de eventos que cruzan medianoche</t>
        </is>
      </c>
      <c r="D39" s="17" t="inlineStr">
        <is>
          <t>HU-01</t>
        </is>
      </c>
      <c r="E39" s="17" t="inlineStr">
        <is>
          <t>R6</t>
        </is>
      </c>
      <c r="F39" s="17" t="inlineStr">
        <is>
          <t>Medio</t>
        </is>
      </c>
      <c r="G39" s="17" t="inlineStr">
        <is>
          <t>Media</t>
        </is>
      </c>
      <c r="H39" s="17" t="inlineStr">
        <is>
          <t>Sistema</t>
        </is>
      </c>
      <c r="I39" s="17" t="inlineStr">
        <is>
          <t>No funcional</t>
        </is>
      </c>
      <c r="J39" s="17" t="inlineStr">
        <is>
          <t>Exploratorio</t>
        </is>
      </c>
      <c r="K39" s="17" t="inlineStr">
        <is>
          <t>Charter de 30 min.</t>
        </is>
      </c>
      <c r="L39" s="17" t="inlineStr">
        <is>
          <t>1) Crear un evento de hoy con una hora que ya pasó y publicarlo.
2) Crear uno que empieza a las 23:00 y termina a las 02:00.
3) Ver cómo aparecen en Catálogo (estado_disponibilidad) y en el GET de Check-in.</t>
        </is>
      </c>
      <c r="M39" s="17" t="inlineStr">
        <is>
          <t>Se documenta el comportamiento (el contrato no dice si un evento de hoy con hora pasada es válido). Las inconsistencias se reportan a TITEC como defectos o consultas de contrato.</t>
        </is>
      </c>
      <c r="N39" s="17" t="inlineStr">
        <is>
          <t>Entrega 1</t>
        </is>
      </c>
      <c r="O39" s="17" t="inlineStr">
        <is>
          <t>Joaquín Martínez</t>
        </is>
      </c>
      <c r="P39" s="18" t="inlineStr">
        <is>
          <t>Postergado</t>
        </is>
      </c>
    </row>
    <row r="40" ht="39.75" customHeight="1" s="13">
      <c r="A40" s="17" t="inlineStr">
        <is>
          <t>PO-FEC-05</t>
        </is>
      </c>
      <c r="B40" s="17" t="inlineStr">
        <is>
          <t>06 Fechas y horas (HU-01)</t>
        </is>
      </c>
      <c r="C40" s="17" t="inlineStr">
        <is>
          <t>Catálogo por fecha: hoy, ayer y mañana</t>
        </is>
      </c>
      <c r="D40" s="17" t="inlineStr">
        <is>
          <t>HU-04</t>
        </is>
      </c>
      <c r="E40" s="17" t="inlineStr">
        <is>
          <t>R6, R4</t>
        </is>
      </c>
      <c r="F40" s="17" t="inlineStr">
        <is>
          <t>Alto</t>
        </is>
      </c>
      <c r="G40" s="17" t="inlineStr">
        <is>
          <t>Alta</t>
        </is>
      </c>
      <c r="H40" s="17" t="inlineStr">
        <is>
          <t>Integración</t>
        </is>
      </c>
      <c r="I40" s="17" t="inlineStr">
        <is>
          <t>Funcional</t>
        </is>
      </c>
      <c r="J40" s="17" t="inlineStr">
        <is>
          <t>Tabla de decisión</t>
        </is>
      </c>
      <c r="K40" s="17" t="inlineStr">
        <is>
          <t>Con Compass, dejar tres eventos PUBLICADO con fechas ayer, hoy y mañana (la API no permite crear fechas pasadas).</t>
        </is>
      </c>
      <c r="L40" s="17" t="inlineStr">
        <is>
          <t>1) GET /api/v1/organizador/eventos/proximos.
2) GET detalle de cada uno.</t>
        </is>
      </c>
      <c r="M40" s="17" t="inlineStr">
        <is>
          <t>Próximos incluye hoy y mañana ordenados por fecha y hora, y excluye ayer. El detalle de ayer muestra estado_disponibilidad = PASADO; hoy y mañana, DISPONIBLE.</t>
        </is>
      </c>
      <c r="N40" s="17" t="inlineStr">
        <is>
          <t>Entrega 1</t>
        </is>
      </c>
      <c r="O40" s="17" t="inlineStr">
        <is>
          <t>Christopher Okinggton</t>
        </is>
      </c>
      <c r="P40" s="18" t="inlineStr">
        <is>
          <t>Diseñado</t>
        </is>
      </c>
    </row>
    <row r="41" ht="63.75" customHeight="1" s="13">
      <c r="A41" s="17" t="inlineStr">
        <is>
          <t>PO-CON-01</t>
        </is>
      </c>
      <c r="B41" s="17" t="inlineStr">
        <is>
          <t>07 Contratos e integración</t>
        </is>
      </c>
      <c r="C41" s="17" t="inlineStr">
        <is>
          <t>Revisión estática del OpenAPI contra los contratos</t>
        </is>
      </c>
      <c r="D41" s="17" t="inlineStr">
        <is>
          <t>OpenAPI y contratos v1.x</t>
        </is>
      </c>
      <c r="E41" s="17" t="inlineStr">
        <is>
          <t>R7</t>
        </is>
      </c>
      <c r="F41" s="17" t="inlineStr">
        <is>
          <t>Medio</t>
        </is>
      </c>
      <c r="G41" s="17" t="inlineStr">
        <is>
          <t>Media</t>
        </is>
      </c>
      <c r="H41" s="17" t="inlineStr">
        <is>
          <t>Sistema</t>
        </is>
      </c>
      <c r="I41" s="17" t="inlineStr">
        <is>
          <t>Funcional</t>
        </is>
      </c>
      <c r="J41" s="17" t="inlineStr">
        <is>
          <t>Análisis estático</t>
        </is>
      </c>
      <c r="K41" s="17" t="inlineStr">
        <is>
          <t>Repo de presentación, commit 1d8a68e.</t>
        </is>
      </c>
      <c r="L41" s="17" t="inlineStr">
        <is>
          <t>1) Ejecutar npx @redocly/cli lint docs/api/openapi.yaml.
2) Con una lista de verificación, comparar rutas, campos, tipos, enums, required y códigos de respuesta del OpenAPI con los 6 contratos.
3) Registrar diferencias.</t>
        </is>
      </c>
      <c r="M41" s="17" t="inlineStr">
        <is>
          <t>Lint sin errores y lista de diferencias entre OpenAPI y contratos (por ejemplo, versiones distintas, códigos de error). Cada diferencia queda como defecto o consulta de contrato.</t>
        </is>
      </c>
      <c r="N41" s="17" t="inlineStr">
        <is>
          <t>Entrega 1</t>
        </is>
      </c>
      <c r="O41" s="17" t="inlineStr">
        <is>
          <t>Christopher Okinggton</t>
        </is>
      </c>
      <c r="P41" s="18" t="inlineStr">
        <is>
          <t>Diseñado</t>
        </is>
      </c>
    </row>
    <row r="42" ht="39.75" customHeight="1" s="13">
      <c r="A42" s="17" t="inlineStr">
        <is>
          <t>PO-CON-02</t>
        </is>
      </c>
      <c r="B42" s="17" t="inlineStr">
        <is>
          <t>07 Contratos e integración</t>
        </is>
      </c>
      <c r="C42" s="17" t="inlineStr">
        <is>
          <t>Las respuestas cumplen el esquema del OpenAPI</t>
        </is>
      </c>
      <c r="D42" s="17" t="inlineStr">
        <is>
          <t>OpenAPI</t>
        </is>
      </c>
      <c r="E42" s="17" t="inlineStr">
        <is>
          <t>R7</t>
        </is>
      </c>
      <c r="F42" s="17" t="inlineStr">
        <is>
          <t>Medio</t>
        </is>
      </c>
      <c r="G42" s="17" t="inlineStr">
        <is>
          <t>Media</t>
        </is>
      </c>
      <c r="H42" s="17" t="inlineStr">
        <is>
          <t>Integración</t>
        </is>
      </c>
      <c r="I42" s="17" t="inlineStr">
        <is>
          <t>Funcional</t>
        </is>
      </c>
      <c r="J42" s="17" t="inlineStr">
        <is>
          <t>Partición de equivalencia</t>
        </is>
      </c>
      <c r="K42" s="17" t="inlineStr">
        <is>
          <t>Colección Postman propia con validación de esquema.</t>
        </is>
      </c>
      <c r="L42" s="17" t="inlineStr">
        <is>
          <t>1) Para cada endpoint implementado, ejecutar un caso por código de respuesta documentado (200/201, 400, 401, 403, 404, 409, 503).
2) Validar cuerpo y cabeceras contra el esquema.</t>
        </is>
      </c>
      <c r="M42" s="17" t="inlineStr">
        <is>
          <t>Todas las respuestas cumplen el esquema (campos required, tipos, enums). Las diferencias se reportan como defectos.</t>
        </is>
      </c>
      <c r="N42" s="17" t="inlineStr">
        <is>
          <t>Entrega 1</t>
        </is>
      </c>
      <c r="O42" s="17" t="inlineStr">
        <is>
          <t>Christopher Okinggton</t>
        </is>
      </c>
      <c r="P42" s="18" t="inlineStr">
        <is>
          <t>Postergado</t>
        </is>
      </c>
    </row>
    <row r="43" ht="51.75" customHeight="1" s="13">
      <c r="A43" s="17" t="inlineStr">
        <is>
          <t>PO-CON-03</t>
        </is>
      </c>
      <c r="B43" s="17" t="inlineStr">
        <is>
          <t>07 Contratos e integración</t>
        </is>
      </c>
      <c r="C43" s="17" t="inlineStr">
        <is>
          <t>Campos que consume Check-in y Entradas</t>
        </is>
      </c>
      <c r="D43" s="17" t="inlineStr">
        <is>
          <t>Contratos Check-in v1.2 y Entradas v1.2</t>
        </is>
      </c>
      <c r="E43" s="17" t="inlineStr">
        <is>
          <t>R7</t>
        </is>
      </c>
      <c r="F43" s="17" t="inlineStr">
        <is>
          <t>Medio</t>
        </is>
      </c>
      <c r="G43" s="17" t="inlineStr">
        <is>
          <t>Media</t>
        </is>
      </c>
      <c r="H43" s="17" t="inlineStr">
        <is>
          <t>Integración</t>
        </is>
      </c>
      <c r="I43" s="17" t="inlineStr">
        <is>
          <t>Funcional</t>
        </is>
      </c>
      <c r="J43" s="17" t="inlineStr">
        <is>
          <t>Casos de uso</t>
        </is>
      </c>
      <c r="K43" s="17" t="inlineStr">
        <is>
          <t>Cookie de staff.</t>
        </is>
      </c>
      <c r="L43" s="17" t="inlineStr">
        <is>
          <t>1) GET /api/v1/panel/eventos/{id} para un Publicado del seed.
2) Verificar id_evento, nombre_evento, direccion_evento, fecha_evento, hora_evento, hora_fin_evento (no nulo), estado_gestion, y los campos para Entradas: id_usuario, cantidad_entradas, tipo_entrada.</t>
        </is>
      </c>
      <c r="M43" s="17" t="inlineStr">
        <is>
          <t>200 con todos los campos del contrato y hora_fin_evento presente en eventos Publicados.</t>
        </is>
      </c>
      <c r="N43" s="17" t="inlineStr">
        <is>
          <t>Entrega 1</t>
        </is>
      </c>
      <c r="O43" s="17" t="inlineStr">
        <is>
          <t>Christopher Okinggton</t>
        </is>
      </c>
      <c r="P43" s="18" t="inlineStr">
        <is>
          <t>Diseñado</t>
        </is>
      </c>
    </row>
    <row r="44" ht="51.75" customHeight="1" s="13">
      <c r="A44" s="17" t="inlineStr">
        <is>
          <t>PO-CON-04</t>
        </is>
      </c>
      <c r="B44" s="17" t="inlineStr">
        <is>
          <t>07 Contratos e integración</t>
        </is>
      </c>
      <c r="C44" s="17" t="inlineStr">
        <is>
          <t>Estructura del evento para Catálogo y estado_disponibilidad</t>
        </is>
      </c>
      <c r="D44" s="17" t="inlineStr">
        <is>
          <t>Contrato Catálogo v1.1</t>
        </is>
      </c>
      <c r="E44" s="17" t="inlineStr">
        <is>
          <t>R7</t>
        </is>
      </c>
      <c r="F44" s="17" t="inlineStr">
        <is>
          <t>Medio</t>
        </is>
      </c>
      <c r="G44" s="17" t="inlineStr">
        <is>
          <t>Media</t>
        </is>
      </c>
      <c r="H44" s="17" t="inlineStr">
        <is>
          <t>Integración</t>
        </is>
      </c>
      <c r="I44" s="17" t="inlineStr">
        <is>
          <t>Funcional</t>
        </is>
      </c>
      <c r="J44" s="17" t="inlineStr">
        <is>
          <t>Partición de equivalencia</t>
        </is>
      </c>
      <c r="K44" s="17" t="inlineStr">
        <is>
          <t>Seed y un evento con fecha pasada creado vía Compass.</t>
        </is>
      </c>
      <c r="L44" s="17" t="inlineStr">
        <is>
          <t>1) GET detalle y próximos.
2) Verificar campos del contrato (§3.1 y 3.2) y valores de estado_disponibilidad.
3) Anotar que AGOTADO depende de Entradas.</t>
        </is>
      </c>
      <c r="M44" s="17" t="inlineStr">
        <is>
          <t>Campos y tipos conformes. El servicio produce DISPONIBLE y PASADO; AGOTADO no se produce hoy porque depende de la información de Entradas (se registra como brecha pendiente de integración).</t>
        </is>
      </c>
      <c r="N44" s="17" t="inlineStr">
        <is>
          <t>Entrega 1</t>
        </is>
      </c>
      <c r="O44" s="17" t="inlineStr">
        <is>
          <t>Christopher Okinggton</t>
        </is>
      </c>
      <c r="P44" s="18" t="inlineStr">
        <is>
          <t>Diseñado</t>
        </is>
      </c>
    </row>
    <row r="45" ht="63.75" customHeight="1" s="13">
      <c r="A45" s="17" t="inlineStr">
        <is>
          <t>PO-CON-05</t>
        </is>
      </c>
      <c r="B45" s="17" t="inlineStr">
        <is>
          <t>07 Contratos e integración</t>
        </is>
      </c>
      <c r="C45" s="17" t="inlineStr">
        <is>
          <t>Conformidad de los códigos y formato de error con los contratos</t>
        </is>
      </c>
      <c r="D45" s="17" t="inlineStr">
        <is>
          <t>Contratos Check-in v1.2 y Auth v1.1</t>
        </is>
      </c>
      <c r="E45" s="17" t="inlineStr">
        <is>
          <t>R7</t>
        </is>
      </c>
      <c r="F45" s="17" t="inlineStr">
        <is>
          <t>Medio</t>
        </is>
      </c>
      <c r="G45" s="17" t="inlineStr">
        <is>
          <t>Media</t>
        </is>
      </c>
      <c r="H45" s="17" t="inlineStr">
        <is>
          <t>Integración</t>
        </is>
      </c>
      <c r="I45" s="17" t="inlineStr">
        <is>
          <t>Funcional</t>
        </is>
      </c>
      <c r="J45" s="17" t="inlineStr">
        <is>
          <t>Tabla de decisión</t>
        </is>
      </c>
      <c r="K45" s="17" t="inlineStr">
        <is>
          <t>Checklist con la tabla de errores del contrato Check-in (400 ID_EVENTO_INVALIDO, 401 SESION_INVALIDA, 403 ROL_NO_AUTORIZADO, 404 EVENTO_NO_ENCONTRADO, 503 SERVICIO_NO_DISPONIBLE).</t>
        </is>
      </c>
      <c r="L45" s="17" t="inlineStr">
        <is>
          <t>1) Provocar 401, 403, 404 y 503 en GET /api/v1/panel/eventos/{id} y un id mal formado.
2) Comparar código HTTP, error.codigo y formato con el contrato.
3) Llamar PATCH y DELETE sobre …/mios/{id} (documentados pero no implementados) y una ruta inexistente.</t>
        </is>
      </c>
      <c r="M45" s="17" t="inlineStr">
        <is>
          <t>Se documentan las diferencias: el panel responde {error:{codigo,mensaje,detalles}} con SESSION_INVALID, FORBIDDEN_ROLE, EVENT_NOT_FOUND (también para ids mal formados) y AUTH_UNAVAILABLE (ADR-0011 declara el formato como pendiente). Una ruta o método no implementado no debería devolver HTML de Express: si lo hace, se reporta.</t>
        </is>
      </c>
      <c r="N45" s="17" t="inlineStr">
        <is>
          <t>Entrega 1</t>
        </is>
      </c>
      <c r="O45" s="17" t="inlineStr">
        <is>
          <t>Christopher Okinggton</t>
        </is>
      </c>
      <c r="P45" s="18" t="inlineStr">
        <is>
          <t>Diseñado</t>
        </is>
      </c>
    </row>
    <row r="46" ht="27.75" customHeight="1" s="13">
      <c r="A46" s="17" t="inlineStr">
        <is>
          <t>PO-CON-06</t>
        </is>
      </c>
      <c r="B46" s="17" t="inlineStr">
        <is>
          <t>07 Contratos e integración</t>
        </is>
      </c>
      <c r="C46" s="17" t="inlineStr">
        <is>
          <t>Regresión con la colección Newman del equipo TITEC</t>
        </is>
      </c>
      <c r="D46" s="17" t="inlineStr">
        <is>
          <t>Todos</t>
        </is>
      </c>
      <c r="E46" s="17" t="inlineStr">
        <is>
          <t>R7, R3</t>
        </is>
      </c>
      <c r="F46" s="17" t="inlineStr">
        <is>
          <t>Alto</t>
        </is>
      </c>
      <c r="G46" s="17" t="inlineStr">
        <is>
          <t>Alta</t>
        </is>
      </c>
      <c r="H46" s="17" t="inlineStr">
        <is>
          <t>Integración</t>
        </is>
      </c>
      <c r="I46" s="17" t="inlineStr">
        <is>
          <t>Confirmación y regresión</t>
        </is>
      </c>
      <c r="J46" s="17" t="inlineStr">
        <is>
          <t>Regresión automatizada</t>
        </is>
      </c>
      <c r="K46" s="17" t="inlineStr">
        <is>
          <t>npm install; API, MongoDB y mock-auth arriba; npm run db:seed.</t>
        </is>
      </c>
      <c r="L46" s="17" t="inlineStr">
        <is>
          <t>1) npm run test:integration (18 requests, 32 aserciones).
2) Guardar el reporte junit en /qa/evidencias.</t>
        </is>
      </c>
      <c r="M46" s="17" t="inlineStr">
        <is>
          <t>0 fallos. Si hay fallos, se abre un defecto por cada uno y se repite en cada build nuevo.</t>
        </is>
      </c>
      <c r="N46" s="17" t="inlineStr">
        <is>
          <t>Entrega 1</t>
        </is>
      </c>
      <c r="O46" s="17" t="inlineStr">
        <is>
          <t>Christopher Okinggton</t>
        </is>
      </c>
      <c r="P46" s="18" t="inlineStr">
        <is>
          <t>Diseñado</t>
        </is>
      </c>
    </row>
    <row r="47" ht="39.75" customHeight="1" s="13">
      <c r="A47" s="17" t="inlineStr">
        <is>
          <t>PO-CON-07</t>
        </is>
      </c>
      <c r="B47" s="17" t="inlineStr">
        <is>
          <t>07 Contratos e integración</t>
        </is>
      </c>
      <c r="C47" s="17" t="inlineStr">
        <is>
          <t>Análisis estático del código con SonarQube Cloud</t>
        </is>
      </c>
      <c r="D47" s="17" t="inlineStr">
        <is>
          <t>HU-06 · Seguridad</t>
        </is>
      </c>
      <c r="E47" s="17" t="inlineStr">
        <is>
          <t>R1</t>
        </is>
      </c>
      <c r="F47" s="17" t="inlineStr">
        <is>
          <t>Alto</t>
        </is>
      </c>
      <c r="G47" s="17" t="inlineStr">
        <is>
          <t>Alta</t>
        </is>
      </c>
      <c r="H47" s="17" t="inlineStr">
        <is>
          <t>Componente</t>
        </is>
      </c>
      <c r="I47" s="17" t="inlineStr">
        <is>
          <t>Estructural</t>
        </is>
      </c>
      <c r="J47" s="17" t="inlineStr">
        <is>
          <t>Análisis estático</t>
        </is>
      </c>
      <c r="K47" s="17" t="inlineStr">
        <is>
          <t>Repo público importado en SonarQube Cloud (proyecto del grupo).</t>
        </is>
      </c>
      <c r="L47" s="17" t="inlineStr">
        <is>
          <t>1) Ejecutar el análisis sobre el commit 1d8a68e.
2) Revisar vulnerabilidades, security hotspots (cookies, CORS, entradas de usuario) y bugs.</t>
        </is>
      </c>
      <c r="M47" s="17" t="inlineStr">
        <is>
          <t>Sin vulnerabilidades críticas ni bugs bloqueantes. Los hotspots quedan revisados y los hallazgos relevantes pasan a Mantis.</t>
        </is>
      </c>
      <c r="N47" s="17" t="inlineStr">
        <is>
          <t>Entrega 1</t>
        </is>
      </c>
      <c r="O47" s="17" t="inlineStr">
        <is>
          <t>Christopher Okinggton</t>
        </is>
      </c>
      <c r="P47" s="18" t="inlineStr">
        <is>
          <t>Diseñado</t>
        </is>
      </c>
    </row>
    <row r="48" ht="39.75" customHeight="1" s="13">
      <c r="A48" s="17" t="inlineStr">
        <is>
          <t>PO-HIS-01</t>
        </is>
      </c>
      <c r="B48" s="17" t="inlineStr">
        <is>
          <t>08 Historial de cambios de estado</t>
        </is>
      </c>
      <c r="C48" s="17" t="inlineStr">
        <is>
          <t>El historial registra la creación (null → Borrador)</t>
        </is>
      </c>
      <c r="D48" s="17" t="inlineStr">
        <is>
          <t>HU-04</t>
        </is>
      </c>
      <c r="E48" s="17" t="inlineStr">
        <is>
          <t>R8</t>
        </is>
      </c>
      <c r="F48" s="17" t="inlineStr">
        <is>
          <t>Medio</t>
        </is>
      </c>
      <c r="G48" s="17" t="inlineStr">
        <is>
          <t>Media</t>
        </is>
      </c>
      <c r="H48" s="17" t="inlineStr">
        <is>
          <t>Integración</t>
        </is>
      </c>
      <c r="I48" s="17" t="inlineStr">
        <is>
          <t>Funcional</t>
        </is>
      </c>
      <c r="J48" s="17" t="inlineStr">
        <is>
          <t>Transición de estados</t>
        </is>
      </c>
      <c r="K48" s="17" t="inlineStr">
        <is>
          <t>Crear un evento con Org A; Compass abierto sobre cambios_estado_evento.</t>
        </is>
      </c>
      <c r="L48" s="17" t="inlineStr">
        <is>
          <t>1) GET /api/v1/panel/eventos/{id}/cambios-estado.
2) Comparar con el documento en la colección.</t>
        </is>
      </c>
      <c r="M48" s="17" t="inlineStr">
        <is>
          <t>Un elemento {tipo: evento_actualizado, id_evento, nuevo_estado: BORRADOR, fecha_cambio ISO}. En la BD, estado_anterior es null e id_usuario_responsable es el id de Org A.</t>
        </is>
      </c>
      <c r="N48" s="17" t="inlineStr">
        <is>
          <t>Entrega 1</t>
        </is>
      </c>
      <c r="O48" s="17" t="inlineStr">
        <is>
          <t>Christopher Okinggton</t>
        </is>
      </c>
      <c r="P48" s="18" t="inlineStr">
        <is>
          <t>Postergado</t>
        </is>
      </c>
    </row>
    <row r="49" ht="51.75" customHeight="1" s="13">
      <c r="A49" s="17" t="inlineStr">
        <is>
          <t>PO-HIS-02</t>
        </is>
      </c>
      <c r="B49" s="17" t="inlineStr">
        <is>
          <t>08 Historial de cambios de estado</t>
        </is>
      </c>
      <c r="C49" s="17" t="inlineStr">
        <is>
          <t>Secuencia de estados y orden descendente</t>
        </is>
      </c>
      <c r="D49" s="17" t="inlineStr">
        <is>
          <t>HU-04</t>
        </is>
      </c>
      <c r="E49" s="17" t="inlineStr">
        <is>
          <t>R8</t>
        </is>
      </c>
      <c r="F49" s="17" t="inlineStr">
        <is>
          <t>Medio</t>
        </is>
      </c>
      <c r="G49" s="17" t="inlineStr">
        <is>
          <t>Media</t>
        </is>
      </c>
      <c r="H49" s="17" t="inlineStr">
        <is>
          <t>Integración</t>
        </is>
      </c>
      <c r="I49" s="17" t="inlineStr">
        <is>
          <t>Funcional</t>
        </is>
      </c>
      <c r="J49" s="17" t="inlineStr">
        <is>
          <t>Transición de estados</t>
        </is>
      </c>
      <c r="K49" s="17" t="inlineStr">
        <is>
          <t>Seed.</t>
        </is>
      </c>
      <c r="L49" s="17" t="inlineStr">
        <is>
          <t>1) GET cambios-estado de …a02, …a04 y …a05.
2) Publicar un Borrador nuevo y repetir.</t>
        </is>
      </c>
      <c r="M49" s="17" t="inlineStr">
        <is>
          <t>Orden más reciente primero: …a04 FINALIZADO, PUBLICADO, BORRADOR; …a05 CANCELADO, PUBLICADO, BORRADOR; …a02 PUBLICADO, BORRADOR. El evento recién publicado agrega PUBLICADO con la fecha de la publicación.</t>
        </is>
      </c>
      <c r="N49" s="17" t="inlineStr">
        <is>
          <t>Entrega 1</t>
        </is>
      </c>
      <c r="O49" s="17" t="inlineStr">
        <is>
          <t>Christopher Okinggton</t>
        </is>
      </c>
      <c r="P49" s="18" t="inlineStr">
        <is>
          <t>Diseñado</t>
        </is>
      </c>
    </row>
    <row r="50" ht="27.75" customHeight="1" s="13">
      <c r="A50" s="17" t="inlineStr">
        <is>
          <t>PO-HIS-03</t>
        </is>
      </c>
      <c r="B50" s="17" t="inlineStr">
        <is>
          <t>08 Historial de cambios de estado</t>
        </is>
      </c>
      <c r="C50" s="17" t="inlineStr">
        <is>
          <t>Historial de ids inexistentes o mal formados</t>
        </is>
      </c>
      <c r="D50" s="17" t="inlineStr">
        <is>
          <t>HU-04</t>
        </is>
      </c>
      <c r="E50" s="17" t="inlineStr">
        <is>
          <t>R8</t>
        </is>
      </c>
      <c r="F50" s="17" t="inlineStr">
        <is>
          <t>Medio</t>
        </is>
      </c>
      <c r="G50" s="17" t="inlineStr">
        <is>
          <t>Media</t>
        </is>
      </c>
      <c r="H50" s="17" t="inlineStr">
        <is>
          <t>Integración</t>
        </is>
      </c>
      <c r="I50" s="17" t="inlineStr">
        <is>
          <t>Funcional</t>
        </is>
      </c>
      <c r="J50" s="17" t="inlineStr">
        <is>
          <t>Partición de equivalencia</t>
        </is>
      </c>
      <c r="K50" s="17" t="inlineStr">
        <is>
          <t>Sin cookie.</t>
        </is>
      </c>
      <c r="L50" s="17" t="inlineStr">
        <is>
          <t>1) GET cambios-estado con 66f1a0000000000000000099, con «abc» y con 25 hex.</t>
        </is>
      </c>
      <c r="M50" s="17" t="inlineStr">
        <is>
          <t>404 EVENT_NOT_FOUND en todos.</t>
        </is>
      </c>
      <c r="N50" s="17" t="inlineStr">
        <is>
          <t>Entrega 1</t>
        </is>
      </c>
      <c r="O50" s="17" t="inlineStr">
        <is>
          <t>Christopher Okinggton</t>
        </is>
      </c>
      <c r="P50" s="18" t="inlineStr">
        <is>
          <t>Postergado</t>
        </is>
      </c>
    </row>
    <row r="51" ht="63.75" customHeight="1" s="13">
      <c r="A51" s="17" t="inlineStr">
        <is>
          <t>PO-HIS-04</t>
        </is>
      </c>
      <c r="B51" s="17" t="inlineStr">
        <is>
          <t>08 Historial de cambios de estado</t>
        </is>
      </c>
      <c r="C51" s="17" t="inlineStr">
        <is>
          <t>Caja blanca de la compensación al fallar el historial</t>
        </is>
      </c>
      <c r="D51" s="17" t="inlineStr">
        <is>
          <t>HU-04</t>
        </is>
      </c>
      <c r="E51" s="17" t="inlineStr">
        <is>
          <t>R8</t>
        </is>
      </c>
      <c r="F51" s="17" t="inlineStr">
        <is>
          <t>Medio</t>
        </is>
      </c>
      <c r="G51" s="17" t="inlineStr">
        <is>
          <t>Media</t>
        </is>
      </c>
      <c r="H51" s="17" t="inlineStr">
        <is>
          <t>Componente</t>
        </is>
      </c>
      <c r="I51" s="17" t="inlineStr">
        <is>
          <t>Estructural</t>
        </is>
      </c>
      <c r="J51" s="17" t="inlineStr">
        <is>
          <t>Caja blanca (cobertura)</t>
        </is>
      </c>
      <c r="K51" s="17" t="inlineStr">
        <is>
          <t>Reporte de cobertura del equipo (vitest-output.txt): evento.service.ts líneas 28-30 sin cubrir. Requiere inyectar un fallo (por ejemplo, un validador que rechace el historial).</t>
        </is>
      </c>
      <c r="L51" s="17" t="inlineStr">
        <is>
          <t>1) Provocar el fallo al insertar en cambios_estado_evento durante la creación.
2) Verificar la colección eventos.</t>
        </is>
      </c>
      <c r="M51" s="17" t="inlineStr">
        <is>
          <t>El POST falla con error y no queda un evento huérfano (la compensación lo borra).</t>
        </is>
      </c>
      <c r="N51" s="17" t="inlineStr">
        <is>
          <t>Entrega 2</t>
        </is>
      </c>
      <c r="O51" s="17" t="inlineStr">
        <is>
          <t>Christopher Okinggton</t>
        </is>
      </c>
      <c r="P51" s="18" t="inlineStr">
        <is>
          <t>Diseñado</t>
        </is>
      </c>
    </row>
    <row r="52" ht="27.75" customHeight="1" s="13">
      <c r="A52" s="17" t="inlineStr">
        <is>
          <t>PO-REN-01</t>
        </is>
      </c>
      <c r="B52" s="17" t="inlineStr">
        <is>
          <t>09 Rendimiento y carga</t>
        </is>
      </c>
      <c r="C52" s="17" t="inlineStr">
        <is>
          <t>Carga: listar mis eventos con 50 usuarios</t>
        </is>
      </c>
      <c r="D52" s="17" t="inlineStr">
        <is>
          <t>No funcional</t>
        </is>
      </c>
      <c r="E52" s="17" t="inlineStr">
        <is>
          <t>R9</t>
        </is>
      </c>
      <c r="F52" s="17" t="inlineStr">
        <is>
          <t>Medio</t>
        </is>
      </c>
      <c r="G52" s="17" t="inlineStr">
        <is>
          <t>Media</t>
        </is>
      </c>
      <c r="H52" s="17" t="inlineStr">
        <is>
          <t>Sistema</t>
        </is>
      </c>
      <c r="I52" s="17" t="inlineStr">
        <is>
          <t>No funcional</t>
        </is>
      </c>
      <c r="J52" s="17" t="inlineStr">
        <is>
          <t>Pruebas de rendimiento</t>
        </is>
      </c>
      <c r="K52" s="17" t="inlineStr">
        <is>
          <t>Locust instalado; seed ampliado con eventos QA-LOAD.</t>
        </is>
      </c>
      <c r="L52" s="17" t="inlineStr">
        <is>
          <t>1) 50 usuarios concurrentes, GET …/mios con Org A, 5 minutos.</t>
        </is>
      </c>
      <c r="M52" s="17" t="inlineStr">
        <is>
          <t>Umbral propuesto: p95 &lt; 500 ms y 0 % de errores 5xx (a confirmar con TITEC).</t>
        </is>
      </c>
      <c r="N52" s="17" t="inlineStr">
        <is>
          <t>Entrega 3</t>
        </is>
      </c>
      <c r="O52" s="17" t="inlineStr">
        <is>
          <t>Christopher Okinggton</t>
        </is>
      </c>
      <c r="P52" s="18" t="inlineStr">
        <is>
          <t>Diseñado</t>
        </is>
      </c>
    </row>
    <row r="53" ht="39.75" customHeight="1" s="13">
      <c r="A53" s="17" t="inlineStr">
        <is>
          <t>PO-REN-02</t>
        </is>
      </c>
      <c r="B53" s="17" t="inlineStr">
        <is>
          <t>09 Rendimiento y carga</t>
        </is>
      </c>
      <c r="C53" s="17" t="inlineStr">
        <is>
          <t>Volumen: 5.000 eventos en Catálogo y búsqueda</t>
        </is>
      </c>
      <c r="D53" s="17" t="inlineStr">
        <is>
          <t>No funcional</t>
        </is>
      </c>
      <c r="E53" s="17" t="inlineStr">
        <is>
          <t>R9</t>
        </is>
      </c>
      <c r="F53" s="17" t="inlineStr">
        <is>
          <t>Medio</t>
        </is>
      </c>
      <c r="G53" s="17" t="inlineStr">
        <is>
          <t>Media</t>
        </is>
      </c>
      <c r="H53" s="17" t="inlineStr">
        <is>
          <t>Sistema</t>
        </is>
      </c>
      <c r="I53" s="17" t="inlineStr">
        <is>
          <t>No funcional</t>
        </is>
      </c>
      <c r="J53" s="17" t="inlineStr">
        <is>
          <t>Pruebas de rendimiento</t>
        </is>
      </c>
      <c r="K53" s="17" t="inlineStr">
        <is>
          <t>Script que carga 5.000 eventos Publicados.</t>
        </is>
      </c>
      <c r="L53" s="17" t="inlineStr">
        <is>
          <t>1) GET próximos.
2) POST buscar con texto y con categoría.
3) Medir tiempo y tamaño de respuesta.</t>
        </is>
      </c>
      <c r="M53" s="17" t="inlineStr">
        <is>
          <t>p95 &lt; 1 s en búsqueda. Se documenta el tamaño de la respuesta y la falta de paginación.</t>
        </is>
      </c>
      <c r="N53" s="17" t="inlineStr">
        <is>
          <t>Entrega 3</t>
        </is>
      </c>
      <c r="O53" s="17" t="inlineStr">
        <is>
          <t>Christopher Okinggton</t>
        </is>
      </c>
      <c r="P53" s="18" t="inlineStr">
        <is>
          <t>Diseñado</t>
        </is>
      </c>
    </row>
    <row r="54" ht="27.75" customHeight="1" s="13">
      <c r="A54" s="17" t="inlineStr">
        <is>
          <t>PO-REN-03</t>
        </is>
      </c>
      <c r="B54" s="17" t="inlineStr">
        <is>
          <t>09 Rendimiento y carga</t>
        </is>
      </c>
      <c r="C54" s="17" t="inlineStr">
        <is>
          <t>Estrés: rampa de 10 a 200 usuarios creando y publicando</t>
        </is>
      </c>
      <c r="D54" s="17" t="inlineStr">
        <is>
          <t>No funcional</t>
        </is>
      </c>
      <c r="E54" s="17" t="inlineStr">
        <is>
          <t>R9</t>
        </is>
      </c>
      <c r="F54" s="17" t="inlineStr">
        <is>
          <t>Medio</t>
        </is>
      </c>
      <c r="G54" s="17" t="inlineStr">
        <is>
          <t>Media</t>
        </is>
      </c>
      <c r="H54" s="17" t="inlineStr">
        <is>
          <t>Sistema</t>
        </is>
      </c>
      <c r="I54" s="17" t="inlineStr">
        <is>
          <t>No funcional</t>
        </is>
      </c>
      <c r="J54" s="17" t="inlineStr">
        <is>
          <t>Pruebas de rendimiento</t>
        </is>
      </c>
      <c r="K54" s="17" t="inlineStr">
        <is>
          <t>Locust con escenario de creación y publicación.</t>
        </is>
      </c>
      <c r="L54" s="17" t="inlineStr">
        <is>
          <t>1) Aumentar usuarios hasta que aparezcan errores.
2) Bajar la carga y verificar la recuperación.</t>
        </is>
      </c>
      <c r="M54" s="17" t="inlineStr">
        <is>
          <t>Se identifica el punto de quiebre; el servicio se recupera sin intervención y no deja eventos duplicados ni huérfanos.</t>
        </is>
      </c>
      <c r="N54" s="17" t="inlineStr">
        <is>
          <t>Entrega 3</t>
        </is>
      </c>
      <c r="O54" s="17" t="inlineStr">
        <is>
          <t>Christopher Okinggton</t>
        </is>
      </c>
      <c r="P54" s="18" t="inlineStr">
        <is>
          <t>Diseñado</t>
        </is>
      </c>
    </row>
    <row r="55" ht="27.75" customHeight="1" s="13">
      <c r="A55" s="17" t="inlineStr">
        <is>
          <t>PO-BUS-01</t>
        </is>
      </c>
      <c r="B55" s="17" t="inlineStr">
        <is>
          <t>10 Búsqueda del Catálogo</t>
        </is>
      </c>
      <c r="C55" s="17" t="inlineStr">
        <is>
          <t>Metacaracteres de expresiones regulares como texto</t>
        </is>
      </c>
      <c r="D55" s="17" t="inlineStr">
        <is>
          <t>HU-04</t>
        </is>
      </c>
      <c r="E55" s="17" t="inlineStr">
        <is>
          <t>R10</t>
        </is>
      </c>
      <c r="F55" s="17" t="inlineStr">
        <is>
          <t>Bajo</t>
        </is>
      </c>
      <c r="G55" s="17" t="inlineStr">
        <is>
          <t>Baja</t>
        </is>
      </c>
      <c r="H55" s="17" t="inlineStr">
        <is>
          <t>Integración</t>
        </is>
      </c>
      <c r="I55" s="17" t="inlineStr">
        <is>
          <t>No funcional</t>
        </is>
      </c>
      <c r="J55" s="17" t="inlineStr">
        <is>
          <t>Partición de equivalencia</t>
        </is>
      </c>
      <c r="K55" s="17" t="inlineStr">
        <is>
          <t>Seed.</t>
        </is>
      </c>
      <c r="L55" s="17" t="inlineStr">
        <is>
          <t>1) POST /api/v1/organizador/eventos/buscar con texto «.*», «(», «[a-z]» y «\».</t>
        </is>
      </c>
      <c r="M55" s="17" t="inlineStr">
        <is>
          <t>200 sin error 500 y sin demora (&lt; 1 s). Los caracteres se tratan como texto literal.</t>
        </is>
      </c>
      <c r="N55" s="17" t="inlineStr">
        <is>
          <t>Entrega 1</t>
        </is>
      </c>
      <c r="O55" s="17" t="inlineStr">
        <is>
          <t>Alonso Vera</t>
        </is>
      </c>
      <c r="P55" s="18" t="inlineStr">
        <is>
          <t>Diseñado</t>
        </is>
      </c>
    </row>
    <row r="56" ht="39.75" customHeight="1" s="13">
      <c r="A56" s="17" t="inlineStr">
        <is>
          <t>PO-BUS-02</t>
        </is>
      </c>
      <c r="B56" s="17" t="inlineStr">
        <is>
          <t>10 Búsqueda del Catálogo</t>
        </is>
      </c>
      <c r="C56" s="17" t="inlineStr">
        <is>
          <t>Body inválido y operadores de BD</t>
        </is>
      </c>
      <c r="D56" s="17" t="inlineStr">
        <is>
          <t>Contrato Catálogo v1.1</t>
        </is>
      </c>
      <c r="E56" s="17" t="inlineStr">
        <is>
          <t>R10</t>
        </is>
      </c>
      <c r="F56" s="17" t="inlineStr">
        <is>
          <t>Bajo</t>
        </is>
      </c>
      <c r="G56" s="17" t="inlineStr">
        <is>
          <t>Baja</t>
        </is>
      </c>
      <c r="H56" s="17" t="inlineStr">
        <is>
          <t>Integración</t>
        </is>
      </c>
      <c r="I56" s="17" t="inlineStr">
        <is>
          <t>Funcional</t>
        </is>
      </c>
      <c r="J56" s="17" t="inlineStr">
        <is>
          <t>Partición de equivalencia</t>
        </is>
      </c>
      <c r="K56" s="17" t="inlineStr">
        <is>
          <t>Seed.</t>
        </is>
      </c>
      <c r="L56" s="17" t="inlineStr">
        <is>
          <t>1) texto = "" y texto = 123.
2) {"texto":{"$ne":null}}.
3) Un campo adicional {"x":1}.</t>
        </is>
      </c>
      <c r="M56" s="17" t="inlineStr">
        <is>
          <t>Los pasos 1 y 2: 400 VALIDATION_ERROR. Paso 3: se documenta si se rechaza (el OpenAPI dice additionalProperties: false) o se ignora.</t>
        </is>
      </c>
      <c r="N56" s="17" t="inlineStr">
        <is>
          <t>Entrega 1</t>
        </is>
      </c>
      <c r="O56" s="17" t="inlineStr">
        <is>
          <t>Alonso Vera</t>
        </is>
      </c>
      <c r="P56" s="18" t="inlineStr">
        <is>
          <t>Postergado</t>
        </is>
      </c>
    </row>
    <row r="57" ht="51.75" customHeight="1" s="13">
      <c r="A57" s="17" t="inlineStr">
        <is>
          <t>PO-BUS-03</t>
        </is>
      </c>
      <c r="B57" s="17" t="inlineStr">
        <is>
          <t>10 Búsqueda del Catálogo</t>
        </is>
      </c>
      <c r="C57" s="17" t="inlineStr">
        <is>
          <t>Fechas y categoría en la búsqueda</t>
        </is>
      </c>
      <c r="D57" s="17" t="inlineStr">
        <is>
          <t>Contrato Catálogo v1.1</t>
        </is>
      </c>
      <c r="E57" s="17" t="inlineStr">
        <is>
          <t>R10</t>
        </is>
      </c>
      <c r="F57" s="17" t="inlineStr">
        <is>
          <t>Bajo</t>
        </is>
      </c>
      <c r="G57" s="17" t="inlineStr">
        <is>
          <t>Baja</t>
        </is>
      </c>
      <c r="H57" s="17" t="inlineStr">
        <is>
          <t>Integración</t>
        </is>
      </c>
      <c r="I57" s="17" t="inlineStr">
        <is>
          <t>Funcional</t>
        </is>
      </c>
      <c r="J57" s="17" t="inlineStr">
        <is>
          <t>Valores límite</t>
        </is>
      </c>
      <c r="K57" s="17" t="inlineStr">
        <is>
          <t>Seed.</t>
        </is>
      </c>
      <c r="L57" s="17" t="inlineStr">
        <is>
          <t>1) fecha_desde = fecha_hasta = 2026-11-20.
2) fecha_desde posterior a fecha_hasta.
3) Formato de fecha inválido.
4) categoria «tecnologia» y «Tecnologia».</t>
        </is>
      </c>
      <c r="M57" s="17" t="inlineStr">
        <is>
          <t>El paso 1 incluye el evento del 20/11. El 2 devuelve lista vacía. El 3 devuelve 400. El paso 4 documenta si la categoría distingue mayúsculas.</t>
        </is>
      </c>
      <c r="N57" s="17" t="inlineStr">
        <is>
          <t>Entrega 1</t>
        </is>
      </c>
      <c r="O57" s="17" t="inlineStr">
        <is>
          <t>Alonso Vera</t>
        </is>
      </c>
      <c r="P57" s="18" t="inlineStr">
        <is>
          <t>Postergado</t>
        </is>
      </c>
    </row>
    <row r="58" ht="39.75" customHeight="1" s="13">
      <c r="A58" s="17" t="inlineStr">
        <is>
          <t>PO-BUS-04</t>
        </is>
      </c>
      <c r="B58" s="17" t="inlineStr">
        <is>
          <t>10 Búsqueda del Catálogo</t>
        </is>
      </c>
      <c r="C58" s="17" t="inlineStr">
        <is>
          <t>Texto en nombre o descripción, mayúsculas y acentos</t>
        </is>
      </c>
      <c r="D58" s="17" t="inlineStr">
        <is>
          <t>Contrato Catálogo v1.1</t>
        </is>
      </c>
      <c r="E58" s="17" t="inlineStr">
        <is>
          <t>R10</t>
        </is>
      </c>
      <c r="F58" s="17" t="inlineStr">
        <is>
          <t>Bajo</t>
        </is>
      </c>
      <c r="G58" s="17" t="inlineStr">
        <is>
          <t>Baja</t>
        </is>
      </c>
      <c r="H58" s="17" t="inlineStr">
        <is>
          <t>Integración</t>
        </is>
      </c>
      <c r="I58" s="17" t="inlineStr">
        <is>
          <t>Funcional</t>
        </is>
      </c>
      <c r="J58" s="17" t="inlineStr">
        <is>
          <t>Partición de equivalencia</t>
        </is>
      </c>
      <c r="K58" s="17" t="inlineStr">
        <is>
          <t>Seed.</t>
        </is>
      </c>
      <c r="L58" s="17" t="inlineStr">
        <is>
          <t>1) texto = «feria», «FERIA» y «Feria».
2) texto = «ciberseguridad» (descripción).
3) texto con y sin acento («innovación», «innovacion»).</t>
        </is>
      </c>
      <c r="M58" s="17" t="inlineStr">
        <is>
          <t>«feria» en cualquier forma devuelve la Feria de Innovación TITEC; «ciberseguridad» devuelve la charla. Se documenta si la búsqueda ignora acentos.</t>
        </is>
      </c>
      <c r="N58" s="17" t="inlineStr">
        <is>
          <t>Entrega 1</t>
        </is>
      </c>
      <c r="O58" s="17" t="inlineStr">
        <is>
          <t>Alonso Vera</t>
        </is>
      </c>
      <c r="P58" s="18" t="inlineStr">
        <is>
          <t>Postergado</t>
        </is>
      </c>
    </row>
    <row r="59" ht="27.75" customHeight="1" s="13">
      <c r="A59" s="17" t="inlineStr">
        <is>
          <t>PO-LIS-01</t>
        </is>
      </c>
      <c r="B59" s="17" t="inlineStr">
        <is>
          <t>11 Mis eventos y detalle (HU-05)</t>
        </is>
      </c>
      <c r="C59" s="17" t="inlineStr">
        <is>
          <t>Mis eventos: sólo los propios, ordenados</t>
        </is>
      </c>
      <c r="D59" s="17" t="inlineStr">
        <is>
          <t>HU-05</t>
        </is>
      </c>
      <c r="E59" s="17" t="inlineStr">
        <is>
          <t>R11</t>
        </is>
      </c>
      <c r="F59" s="17" t="inlineStr">
        <is>
          <t>Bajo</t>
        </is>
      </c>
      <c r="G59" s="17" t="inlineStr">
        <is>
          <t>Baja</t>
        </is>
      </c>
      <c r="H59" s="17" t="inlineStr">
        <is>
          <t>Sistema</t>
        </is>
      </c>
      <c r="I59" s="17" t="inlineStr">
        <is>
          <t>Funcional</t>
        </is>
      </c>
      <c r="J59" s="17" t="inlineStr">
        <is>
          <t>Partición de equivalencia</t>
        </is>
      </c>
      <c r="K59" s="17" t="inlineStr">
        <is>
          <t>Seed.</t>
        </is>
      </c>
      <c r="L59" s="17" t="inlineStr">
        <is>
          <t>1) GET …/mios con Org A y con Org B.</t>
        </is>
      </c>
      <c r="M59" s="17" t="inlineStr">
        <is>
          <t>Org A: 5 eventos; Org B: 2. Ordenados por fecha y hora ascendente. Cada elemento trae nombre, fecha, hora, dirección, estado e id.</t>
        </is>
      </c>
      <c r="N59" s="17" t="inlineStr">
        <is>
          <t>Entrega 1</t>
        </is>
      </c>
      <c r="O59" s="17" t="inlineStr">
        <is>
          <t>Alonso Vera</t>
        </is>
      </c>
      <c r="P59" s="18" t="inlineStr">
        <is>
          <t>Diseñado</t>
        </is>
      </c>
    </row>
    <row r="60" ht="39.75" customHeight="1" s="13">
      <c r="A60" s="17" t="inlineStr">
        <is>
          <t>PO-LIS-02</t>
        </is>
      </c>
      <c r="B60" s="17" t="inlineStr">
        <is>
          <t>11 Mis eventos y detalle (HU-05)</t>
        </is>
      </c>
      <c r="C60" s="17" t="inlineStr">
        <is>
          <t>Filtro por estado_gestion</t>
        </is>
      </c>
      <c r="D60" s="17" t="inlineStr">
        <is>
          <t>HU-05</t>
        </is>
      </c>
      <c r="E60" s="17" t="inlineStr">
        <is>
          <t>R11</t>
        </is>
      </c>
      <c r="F60" s="17" t="inlineStr">
        <is>
          <t>Bajo</t>
        </is>
      </c>
      <c r="G60" s="17" t="inlineStr">
        <is>
          <t>Baja</t>
        </is>
      </c>
      <c r="H60" s="17" t="inlineStr">
        <is>
          <t>Sistema</t>
        </is>
      </c>
      <c r="I60" s="17" t="inlineStr">
        <is>
          <t>Funcional</t>
        </is>
      </c>
      <c r="J60" s="17" t="inlineStr">
        <is>
          <t>Partición de equivalencia</t>
        </is>
      </c>
      <c r="K60" s="17" t="inlineStr">
        <is>
          <t>Seed.</t>
        </is>
      </c>
      <c r="L60" s="17" t="inlineStr">
        <is>
          <t>1) GET …/mios?estado_gestion= BORRADOR, PUBLICADO, FINALIZADO y CANCELADO con Org A.
2) Probar «ABIERTO» y «borrador».</t>
        </is>
      </c>
      <c r="M60" s="17" t="inlineStr">
        <is>
          <t>Org A: 1, 2, 1 y 1 eventos respectivamente. «ABIERTO» y «borrador» responden 400 VALIDATION_ERROR.</t>
        </is>
      </c>
      <c r="N60" s="17" t="inlineStr">
        <is>
          <t>Entrega 1</t>
        </is>
      </c>
      <c r="O60" s="17" t="inlineStr">
        <is>
          <t>Alonso Vera</t>
        </is>
      </c>
      <c r="P60" s="18" t="inlineStr">
        <is>
          <t>Postergado</t>
        </is>
      </c>
    </row>
    <row r="61" ht="27.75" customHeight="1" s="13">
      <c r="A61" s="17" t="inlineStr">
        <is>
          <t>PO-LIS-03</t>
        </is>
      </c>
      <c r="B61" s="17" t="inlineStr">
        <is>
          <t>11 Mis eventos y detalle (HU-05)</t>
        </is>
      </c>
      <c r="C61" s="17" t="inlineStr">
        <is>
          <t>Lista vacía</t>
        </is>
      </c>
      <c r="D61" s="17" t="inlineStr">
        <is>
          <t>HU-05</t>
        </is>
      </c>
      <c r="E61" s="17" t="inlineStr">
        <is>
          <t>R11</t>
        </is>
      </c>
      <c r="F61" s="17" t="inlineStr">
        <is>
          <t>Bajo</t>
        </is>
      </c>
      <c r="G61" s="17" t="inlineStr">
        <is>
          <t>Baja</t>
        </is>
      </c>
      <c r="H61" s="17" t="inlineStr">
        <is>
          <t>Sistema</t>
        </is>
      </c>
      <c r="I61" s="17" t="inlineStr">
        <is>
          <t>Funcional</t>
        </is>
      </c>
      <c r="J61" s="17" t="inlineStr">
        <is>
          <t>Partición de equivalencia</t>
        </is>
      </c>
      <c r="K61" s="17" t="inlineStr">
        <is>
          <t>Seed.</t>
        </is>
      </c>
      <c r="L61" s="17" t="inlineStr">
        <is>
          <t>1) GET …/mios?estado_gestion=FINALIZADO con Org B.</t>
        </is>
      </c>
      <c r="M61" s="17" t="inlineStr">
        <is>
          <t>200 con {eventos: []}.</t>
        </is>
      </c>
      <c r="N61" s="17" t="inlineStr">
        <is>
          <t>Entrega 1</t>
        </is>
      </c>
      <c r="O61" s="17" t="inlineStr">
        <is>
          <t>Alonso Vera</t>
        </is>
      </c>
      <c r="P61" s="18" t="inlineStr">
        <is>
          <t>Postergado</t>
        </is>
      </c>
    </row>
    <row r="62" ht="27.75" customHeight="1" s="13">
      <c r="A62" s="17" t="inlineStr">
        <is>
          <t>PO-LIS-04</t>
        </is>
      </c>
      <c r="B62" s="17" t="inlineStr">
        <is>
          <t>11 Mis eventos y detalle (HU-05)</t>
        </is>
      </c>
      <c r="C62" s="17" t="inlineStr">
        <is>
          <t>Detalle de un evento propio</t>
        </is>
      </c>
      <c r="D62" s="17" t="inlineStr">
        <is>
          <t>HU-05</t>
        </is>
      </c>
      <c r="E62" s="17" t="inlineStr">
        <is>
          <t>R11</t>
        </is>
      </c>
      <c r="F62" s="17" t="inlineStr">
        <is>
          <t>Bajo</t>
        </is>
      </c>
      <c r="G62" s="17" t="inlineStr">
        <is>
          <t>Baja</t>
        </is>
      </c>
      <c r="H62" s="17" t="inlineStr">
        <is>
          <t>Sistema</t>
        </is>
      </c>
      <c r="I62" s="17" t="inlineStr">
        <is>
          <t>Funcional</t>
        </is>
      </c>
      <c r="J62" s="17" t="inlineStr">
        <is>
          <t>Casos de uso</t>
        </is>
      </c>
      <c r="K62" s="17" t="inlineStr">
        <is>
          <t>Seed.</t>
        </is>
      </c>
      <c r="L62" s="17" t="inlineStr">
        <is>
          <t>1) GET …/mios/66f1a0000000000000000002 con Org A.</t>
        </is>
      </c>
      <c r="M62" s="17" t="inlineStr">
        <is>
          <t>200 con todos los campos del esquema Evento, incluidos id_organizador y fechas ISO.</t>
        </is>
      </c>
      <c r="N62" s="17" t="inlineStr">
        <is>
          <t>Entrega 1</t>
        </is>
      </c>
      <c r="O62" s="17" t="inlineStr">
        <is>
          <t>Alonso Vera</t>
        </is>
      </c>
      <c r="P62" s="18" t="inlineStr">
        <is>
          <t>Postergado</t>
        </is>
      </c>
    </row>
    <row r="63" ht="39.75" customHeight="1" s="13">
      <c r="A63" s="17" t="inlineStr">
        <is>
          <t>PO-UI-01</t>
        </is>
      </c>
      <c r="B63" s="17" t="inlineStr">
        <is>
          <t>12 Interfaz de usuario</t>
        </is>
      </c>
      <c r="C63" s="17" t="inlineStr">
        <is>
          <t>Exploratorio del formulario Nuevo evento</t>
        </is>
      </c>
      <c r="D63" s="17" t="inlineStr">
        <is>
          <t>HU-01</t>
        </is>
      </c>
      <c r="E63" s="17" t="inlineStr">
        <is>
          <t>R12, R5</t>
        </is>
      </c>
      <c r="F63" s="17" t="inlineStr">
        <is>
          <t>Medio</t>
        </is>
      </c>
      <c r="G63" s="17" t="inlineStr">
        <is>
          <t>Media</t>
        </is>
      </c>
      <c r="H63" s="17" t="inlineStr">
        <is>
          <t>Sistema</t>
        </is>
      </c>
      <c r="I63" s="17" t="inlineStr">
        <is>
          <t>No funcional</t>
        </is>
      </c>
      <c r="J63" s="17" t="inlineStr">
        <is>
          <t>Exploratorio</t>
        </is>
      </c>
      <c r="K63" s="17" t="inlineStr">
        <is>
          <t>Charter de 45 min.</t>
        </is>
      </c>
      <c r="L63" s="17" t="inlineStr">
        <is>
          <t>1) Enviar el formulario vacío y con datos inválidos.
2) Corregir por campo y reenviar.
3) Probar tipo GRATUITA y PAGADA con precio.</t>
        </is>
      </c>
      <c r="M63" s="17" t="inlineStr">
        <is>
          <t>Los errores aparecen bajo cada campo, en español, sin perder lo escrito; al corregir se crea el evento en Borrador.</t>
        </is>
      </c>
      <c r="N63" s="17" t="inlineStr">
        <is>
          <t>Entrega 1</t>
        </is>
      </c>
      <c r="O63" s="17" t="inlineStr">
        <is>
          <t>Joaquín Martínez</t>
        </is>
      </c>
      <c r="P63" s="18" t="inlineStr">
        <is>
          <t>Postergado</t>
        </is>
      </c>
    </row>
    <row r="64" ht="27.75" customHeight="1" s="13">
      <c r="A64" s="17" t="inlineStr">
        <is>
          <t>PO-UI-02</t>
        </is>
      </c>
      <c r="B64" s="17" t="inlineStr">
        <is>
          <t>12 Interfaz de usuario</t>
        </is>
      </c>
      <c r="C64" s="17" t="inlineStr">
        <is>
          <t>Exploratorio de Mis eventos</t>
        </is>
      </c>
      <c r="D64" s="17" t="inlineStr">
        <is>
          <t>HU-05</t>
        </is>
      </c>
      <c r="E64" s="17" t="inlineStr">
        <is>
          <t>R12</t>
        </is>
      </c>
      <c r="F64" s="17" t="inlineStr">
        <is>
          <t>Bajo</t>
        </is>
      </c>
      <c r="G64" s="17" t="inlineStr">
        <is>
          <t>Baja</t>
        </is>
      </c>
      <c r="H64" s="17" t="inlineStr">
        <is>
          <t>Sistema</t>
        </is>
      </c>
      <c r="I64" s="17" t="inlineStr">
        <is>
          <t>No funcional</t>
        </is>
      </c>
      <c r="J64" s="17" t="inlineStr">
        <is>
          <t>Exploratorio</t>
        </is>
      </c>
      <c r="K64" s="17" t="inlineStr">
        <is>
          <t>Charter de 30 min.</t>
        </is>
      </c>
      <c r="L64" s="17" t="inlineStr">
        <is>
          <t>1) Revisar tarjetas por estado, filtros con contador y buscador.
2) Provocar estado vacío y de error.</t>
        </is>
      </c>
      <c r="M64" s="17" t="inlineStr">
        <is>
          <t>Cada estado se distingue claramente; los contadores coinciden con la API; los estados vacío y de error son comprensibles.</t>
        </is>
      </c>
      <c r="N64" s="17" t="inlineStr">
        <is>
          <t>Entrega 1</t>
        </is>
      </c>
      <c r="O64" s="17" t="inlineStr">
        <is>
          <t>Joaquín Martínez</t>
        </is>
      </c>
      <c r="P64" s="18" t="inlineStr">
        <is>
          <t>Postergado</t>
        </is>
      </c>
    </row>
    <row r="65" ht="27.75" customHeight="1" s="13">
      <c r="A65" s="17" t="inlineStr">
        <is>
          <t>PO-UI-03</t>
        </is>
      </c>
      <c r="B65" s="17" t="inlineStr">
        <is>
          <t>12 Interfaz de usuario</t>
        </is>
      </c>
      <c r="C65" s="17" t="inlineStr">
        <is>
          <t>Checklist de consistencia visual</t>
        </is>
      </c>
      <c r="D65" s="17" t="inlineStr">
        <is>
          <t>Estándares de UI</t>
        </is>
      </c>
      <c r="E65" s="17" t="inlineStr">
        <is>
          <t>R12</t>
        </is>
      </c>
      <c r="F65" s="17" t="inlineStr">
        <is>
          <t>Bajo</t>
        </is>
      </c>
      <c r="G65" s="17" t="inlineStr">
        <is>
          <t>Baja</t>
        </is>
      </c>
      <c r="H65" s="17" t="inlineStr">
        <is>
          <t>Aceptación</t>
        </is>
      </c>
      <c r="I65" s="17" t="inlineStr">
        <is>
          <t>No funcional</t>
        </is>
      </c>
      <c r="J65" s="17" t="inlineStr">
        <is>
          <t>Predicción de errores / checklist</t>
        </is>
      </c>
      <c r="K65" s="17" t="inlineStr">
        <is>
          <t>docs/ui/checklist-consistencia-visual.md.</t>
        </is>
      </c>
      <c r="L65" s="17" t="inlineStr">
        <is>
          <t>1) Recorrer la lista con la UI en 360, 768 y 1280 px en Chrome.</t>
        </is>
      </c>
      <c r="M65" s="17" t="inlineStr">
        <is>
          <t>Cumple los puntos acordados entre squads (tokens, tipografía, componentes). Las desviaciones quedan en Mantis.</t>
        </is>
      </c>
      <c r="N65" s="17" t="inlineStr">
        <is>
          <t>Entrega 1</t>
        </is>
      </c>
      <c r="O65" s="17" t="inlineStr">
        <is>
          <t>Joaquín Martínez</t>
        </is>
      </c>
      <c r="P65" s="18" t="inlineStr">
        <is>
          <t>Postergado</t>
        </is>
      </c>
    </row>
    <row r="66" ht="123.75" customHeight="1" s="13">
      <c r="A66" s="17" t="inlineStr">
        <is>
          <t>PO-E2E-01</t>
        </is>
      </c>
      <c r="B66" s="17" t="inlineStr">
        <is>
          <t>13 Flujos E2E</t>
        </is>
      </c>
      <c r="C66" s="17" t="inlineStr">
        <is>
          <t>Flujo E2E de evento gratuito</t>
        </is>
      </c>
      <c r="D66" s="17" t="inlineStr">
        <is>
          <t>HU-01 · HU-04 · HU-05 · Integraciones</t>
        </is>
      </c>
      <c r="E66" s="17" t="inlineStr">
        <is>
          <t>R3, R4, R5, R8</t>
        </is>
      </c>
      <c r="F66" s="17" t="inlineStr">
        <is>
          <t>Alto</t>
        </is>
      </c>
      <c r="G66" s="17" t="inlineStr">
        <is>
          <t>Alta</t>
        </is>
      </c>
      <c r="H66" s="17" t="inlineStr">
        <is>
          <t>Sistema</t>
        </is>
      </c>
      <c r="I66" s="17" t="inlineStr">
        <is>
          <t>Funcional</t>
        </is>
      </c>
      <c r="J66" s="17" t="inlineStr">
        <is>
          <t>Casos de uso</t>
        </is>
      </c>
      <c r="K66" s="17" t="inlineStr">
        <is>
          <t>Servicios: UI y API del Panel, mock de Auth y MongoDB. Postman simula a Catálogo, Promociones, Check-in y Notificaciones.</t>
        </is>
      </c>
      <c r="L66" s="17" t="inlineStr">
        <is>
          <t>1) Login como Org A.
2) Crear «QA-Feria gratuita» (GRATUITA, 100 entradas, fin 20:00, fecha futura).
3) Ver el evento en Mis eventos como Borrador.
4) Como Catálogo: próximos, buscar y detalle (no debe aparecer).
5) Publicar.
6) Como Catálogo y Promociones: el evento aparece (tipo GRATUITA, precio null).
7) Como Check-in (staff): GET del evento.
8) Como Notificaciones: GET cambios-estado.</t>
        </is>
      </c>
      <c r="M66" s="17" t="inlineStr">
        <is>
          <t>Cada paso cumple lo indicado: 201 Borrador, invisible para Catálogo, 200 Publicado, visible en Catálogo y Promociones, 200 para staff con hora_fin_evento y dos cambios en el historial (PUBLICADO, BORRADOR).</t>
        </is>
      </c>
      <c r="N66" s="17" t="inlineStr">
        <is>
          <t>Entrega 1</t>
        </is>
      </c>
      <c r="O66" s="17" t="inlineStr">
        <is>
          <t>Lucas Rojas</t>
        </is>
      </c>
      <c r="P66" s="18" t="inlineStr">
        <is>
          <t>Diseñado</t>
        </is>
      </c>
    </row>
    <row r="67" ht="99.75" customHeight="1" s="13">
      <c r="A67" s="17" t="inlineStr">
        <is>
          <t>PO-E2E-02</t>
        </is>
      </c>
      <c r="B67" s="17" t="inlineStr">
        <is>
          <t>13 Flujos E2E</t>
        </is>
      </c>
      <c r="C67" s="17" t="inlineStr">
        <is>
          <t>Flujo E2E de evento pagado</t>
        </is>
      </c>
      <c r="D67" s="17" t="inlineStr">
        <is>
          <t>HU-01 · HU-04 · Integraciones</t>
        </is>
      </c>
      <c r="E67" s="17" t="inlineStr">
        <is>
          <t>R3, R4, R5, R7</t>
        </is>
      </c>
      <c r="F67" s="17" t="inlineStr">
        <is>
          <t>Alto</t>
        </is>
      </c>
      <c r="G67" s="17" t="inlineStr">
        <is>
          <t>Alta</t>
        </is>
      </c>
      <c r="H67" s="17" t="inlineStr">
        <is>
          <t>Sistema</t>
        </is>
      </c>
      <c r="I67" s="17" t="inlineStr">
        <is>
          <t>Funcional</t>
        </is>
      </c>
      <c r="J67" s="17" t="inlineStr">
        <is>
          <t>Casos de uso</t>
        </is>
      </c>
      <c r="K67" s="17" t="inlineStr">
        <is>
          <t>Como E2E-01.</t>
        </is>
      </c>
      <c r="L67" s="17" t="inlineStr">
        <is>
          <t>1) Login como Org A.
2) Intentar crear «QA-Concierto pagado» como PAGADA sin precio (debe fallar) y luego con precio 5000 y 200 entradas.
3) Publicar.
4) Como Catálogo: detalle (tipo PAGADA, precio 5000).
5) Como Entradas (staff): GET del evento.
6) Intentar publicar de nuevo.
7) Como Notificaciones: GET cambios-estado.</t>
        </is>
      </c>
      <c r="M67" s="17" t="inlineStr">
        <is>
          <t>Sin precio: 400 con detalle en precio. Con precio: 201 y publicación 200. Catálogo muestra PAGADA y 5000; Entradas recibe cantidad_entradas = 200, tipo_entrada = PAGADA e id_usuario de Org A. La segunda publicación da 409 y el historial tiene dos cambios.</t>
        </is>
      </c>
      <c r="N67" s="17" t="inlineStr">
        <is>
          <t>Entrega 1</t>
        </is>
      </c>
      <c r="O67" s="17" t="inlineStr">
        <is>
          <t>Lucas Rojas</t>
        </is>
      </c>
      <c r="P67" s="18" t="inlineStr">
        <is>
          <t>Diseñado</t>
        </is>
      </c>
    </row>
    <row r="68" ht="75.75" customHeight="1" s="13">
      <c r="A68" s="17" t="inlineStr">
        <is>
          <t>PO-E2E-03</t>
        </is>
      </c>
      <c r="B68" s="17" t="inlineStr">
        <is>
          <t>13 Flujos E2E</t>
        </is>
      </c>
      <c r="C68" s="17" t="inlineStr">
        <is>
          <t>Flujo E2E de roles y propiedad, con caída de Auth</t>
        </is>
      </c>
      <c r="D68" s="17" t="inlineStr">
        <is>
          <t>HU-06 · HU-04</t>
        </is>
      </c>
      <c r="E68" s="17" t="inlineStr">
        <is>
          <t>R1, R2, R3</t>
        </is>
      </c>
      <c r="F68" s="17" t="inlineStr">
        <is>
          <t>Alto</t>
        </is>
      </c>
      <c r="G68" s="17" t="inlineStr">
        <is>
          <t>Alta</t>
        </is>
      </c>
      <c r="H68" s="17" t="inlineStr">
        <is>
          <t>Sistema</t>
        </is>
      </c>
      <c r="I68" s="17" t="inlineStr">
        <is>
          <t>Funcional</t>
        </is>
      </c>
      <c r="J68" s="17" t="inlineStr">
        <is>
          <t>Casos de uso</t>
        </is>
      </c>
      <c r="K68" s="17" t="inlineStr">
        <is>
          <t>Como E2E-01.</t>
        </is>
      </c>
      <c r="L68" s="17" t="inlineStr">
        <is>
          <t>1) Org A crea un Borrador.
2) Org B: GET y publicar sobre ese evento.
3) Asistente y staff: POST de creación.
4) Staff: GET del Borrador.
5) Detener mock-auth y publicar como Org A.
6) Reiniciar mock-auth y publicar.</t>
        </is>
      </c>
      <c r="M68" s="17" t="inlineStr">
        <is>
          <t>Org B recibe 403 EVENT_NOT_OWNED; asistente y staff, 403 FORBIDDEN_ROLE; el GET de staff sobre un Borrador da 404; con Auth caído la publicación da 503 y sigue en BORRADOR; al recuperarse, publica con 200.</t>
        </is>
      </c>
      <c r="N68" s="17" t="inlineStr">
        <is>
          <t>Entrega 1</t>
        </is>
      </c>
      <c r="O68" s="17" t="inlineStr">
        <is>
          <t>Lucas Rojas</t>
        </is>
      </c>
      <c r="P68" s="18" t="inlineStr">
        <is>
          <t>Postergado</t>
        </is>
      </c>
    </row>
    <row r="69" ht="39.75" customHeight="1" s="13">
      <c r="A69" s="17" t="inlineStr">
        <is>
          <t>PO-ED-01</t>
        </is>
      </c>
      <c r="B69" s="17" t="inlineStr">
        <is>
          <t>14 Editar evento (HU-02)</t>
        </is>
      </c>
      <c r="C69" s="17" t="inlineStr">
        <is>
          <t>Editar un evento propio (Borrador y Publicado)</t>
        </is>
      </c>
      <c r="D69" s="17" t="inlineStr">
        <is>
          <t>HU-02</t>
        </is>
      </c>
      <c r="E69" s="17" t="inlineStr">
        <is>
          <t>R14, R5</t>
        </is>
      </c>
      <c r="F69" s="17" t="inlineStr">
        <is>
          <t>Alto</t>
        </is>
      </c>
      <c r="G69" s="17" t="inlineStr">
        <is>
          <t>Alta</t>
        </is>
      </c>
      <c r="H69" s="17" t="inlineStr">
        <is>
          <t>Sistema</t>
        </is>
      </c>
      <c r="I69" s="17" t="inlineStr">
        <is>
          <t>Funcional</t>
        </is>
      </c>
      <c r="J69" s="17" t="inlineStr">
        <is>
          <t>Transición de estados</t>
        </is>
      </c>
      <c r="K69" s="17" t="inlineStr">
        <is>
          <t>Diseñado contra el OpenAPI (PATCH …/mios/{id}); se ejecuta al recibir el Avance 2 (22/10).</t>
        </is>
      </c>
      <c r="L69" s="17" t="inlineStr">
        <is>
          <t>1) PATCH con un solo campo sobre un Borrador propio.
2) PATCH sobre un Publicado propio.
3) GET del evento.</t>
        </is>
      </c>
      <c r="M69" s="17" t="inlineStr">
        <is>
          <t>200 con el evento actualizado; los demás campos intactos; fecha_actualizacion cambia; el estado no cambia.</t>
        </is>
      </c>
      <c r="N69" s="17" t="inlineStr">
        <is>
          <t>Entrega 2</t>
        </is>
      </c>
      <c r="O69" s="17" t="inlineStr">
        <is>
          <t>Alonso Vera</t>
        </is>
      </c>
      <c r="P69" s="18" t="inlineStr">
        <is>
          <t>Diseñado</t>
        </is>
      </c>
    </row>
    <row r="70" ht="39.75" customHeight="1" s="13">
      <c r="A70" s="17" t="inlineStr">
        <is>
          <t>PO-ED-02</t>
        </is>
      </c>
      <c r="B70" s="17" t="inlineStr">
        <is>
          <t>14 Editar evento (HU-02)</t>
        </is>
      </c>
      <c r="C70" s="17" t="inlineStr">
        <is>
          <t>Editar: sesión, propiedad, estado y cuerpo</t>
        </is>
      </c>
      <c r="D70" s="17" t="inlineStr">
        <is>
          <t>HU-02</t>
        </is>
      </c>
      <c r="E70" s="17" t="inlineStr">
        <is>
          <t>R14, R2</t>
        </is>
      </c>
      <c r="F70" s="17" t="inlineStr">
        <is>
          <t>Alto</t>
        </is>
      </c>
      <c r="G70" s="17" t="inlineStr">
        <is>
          <t>Alta</t>
        </is>
      </c>
      <c r="H70" s="17" t="inlineStr">
        <is>
          <t>Sistema</t>
        </is>
      </c>
      <c r="I70" s="17" t="inlineStr">
        <is>
          <t>Funcional</t>
        </is>
      </c>
      <c r="J70" s="17" t="inlineStr">
        <is>
          <t>Tabla de decisión</t>
        </is>
      </c>
      <c r="K70" s="17" t="inlineStr">
        <is>
          <t>Como ED-01.</t>
        </is>
      </c>
      <c r="L70" s="17" t="inlineStr">
        <is>
          <t>1) PATCH sin sesión, con asistente y sobre un evento ajeno.
2) PATCH sobre Finalizado y Cancelado.
3) Cuerpo {} y campo extra.</t>
        </is>
      </c>
      <c r="M70" s="17" t="inlineStr">
        <is>
          <t>401, 403 FORBIDDEN_ROLE, 403 EVENT_NOT_OWNED; 409 para Finalizado y Cancelado; 400 para cuerpo vacío (minProperties 1) y campo extra.</t>
        </is>
      </c>
      <c r="N70" s="17" t="inlineStr">
        <is>
          <t>Entrega 2</t>
        </is>
      </c>
      <c r="O70" s="17" t="inlineStr">
        <is>
          <t>Alonso Vera</t>
        </is>
      </c>
      <c r="P70" s="18" t="inlineStr">
        <is>
          <t>Diseñado</t>
        </is>
      </c>
    </row>
    <row r="71" ht="39.75" customHeight="1" s="13">
      <c r="A71" s="17" t="inlineStr">
        <is>
          <t>PO-ED-03</t>
        </is>
      </c>
      <c r="B71" s="17" t="inlineStr">
        <is>
          <t>14 Editar evento (HU-02)</t>
        </is>
      </c>
      <c r="C71" s="17" t="inlineStr">
        <is>
          <t>Editar: límites y reglas cruzadas</t>
        </is>
      </c>
      <c r="D71" s="17" t="inlineStr">
        <is>
          <t>HU-02</t>
        </is>
      </c>
      <c r="E71" s="17" t="inlineStr">
        <is>
          <t>R14, R5</t>
        </is>
      </c>
      <c r="F71" s="17" t="inlineStr">
        <is>
          <t>Alto</t>
        </is>
      </c>
      <c r="G71" s="17" t="inlineStr">
        <is>
          <t>Alta</t>
        </is>
      </c>
      <c r="H71" s="17" t="inlineStr">
        <is>
          <t>Sistema</t>
        </is>
      </c>
      <c r="I71" s="17" t="inlineStr">
        <is>
          <t>Funcional</t>
        </is>
      </c>
      <c r="J71" s="17" t="inlineStr">
        <is>
          <t>Valores límite</t>
        </is>
      </c>
      <c r="K71" s="17" t="inlineStr">
        <is>
          <t>Como ED-01.</t>
        </is>
      </c>
      <c r="L71" s="17" t="inlineStr">
        <is>
          <t>1) nombre_evento con 2, 3, 120 y 121 caracteres.
2) Cambiar tipo_entrada a PAGADA sin precio.
3) Cambiar fecha_evento a una fecha pasada.</t>
        </is>
      </c>
      <c r="M71" s="17" t="inlineStr">
        <is>
          <t>Las mismas reglas que en la creación: 400 con detalle por campo cuando se violan.</t>
        </is>
      </c>
      <c r="N71" s="17" t="inlineStr">
        <is>
          <t>Entrega 2</t>
        </is>
      </c>
      <c r="O71" s="17" t="inlineStr">
        <is>
          <t>Alonso Vera</t>
        </is>
      </c>
      <c r="P71" s="18" t="inlineStr">
        <is>
          <t>Diseñado</t>
        </is>
      </c>
    </row>
    <row r="72" ht="39.75" customHeight="1" s="13">
      <c r="A72" s="17" t="inlineStr">
        <is>
          <t>PO-DEL-01</t>
        </is>
      </c>
      <c r="B72" s="17" t="inlineStr">
        <is>
          <t>15 Eliminar evento (HU-03)</t>
        </is>
      </c>
      <c r="C72" s="17" t="inlineStr">
        <is>
          <t>Eliminar un evento propio</t>
        </is>
      </c>
      <c r="D72" s="17" t="inlineStr">
        <is>
          <t>HU-03</t>
        </is>
      </c>
      <c r="E72" s="17" t="inlineStr">
        <is>
          <t>R14, R2</t>
        </is>
      </c>
      <c r="F72" s="17" t="inlineStr">
        <is>
          <t>Alto</t>
        </is>
      </c>
      <c r="G72" s="17" t="inlineStr">
        <is>
          <t>Alta</t>
        </is>
      </c>
      <c r="H72" s="17" t="inlineStr">
        <is>
          <t>Sistema</t>
        </is>
      </c>
      <c r="I72" s="17" t="inlineStr">
        <is>
          <t>Funcional</t>
        </is>
      </c>
      <c r="J72" s="17" t="inlineStr">
        <is>
          <t>Transición de estados</t>
        </is>
      </c>
      <c r="K72" s="17" t="inlineStr">
        <is>
          <t>Diseñado contra el OpenAPI (DELETE …/mios/{id}); se ejecuta al recibir el Avance 3 (05/11).</t>
        </is>
      </c>
      <c r="L72" s="17" t="inlineStr">
        <is>
          <t>1) DELETE de un Borrador propio.
2) GET …/mios/{id}, GET en Catálogo y cambios-estado.</t>
        </is>
      </c>
      <c r="M72" s="17" t="inlineStr">
        <is>
          <t>204; el evento deja de ser accesible (404) y no aparece en Catálogo ni en Mis eventos.</t>
        </is>
      </c>
      <c r="N72" s="17" t="inlineStr">
        <is>
          <t>Entrega 3</t>
        </is>
      </c>
      <c r="O72" s="17" t="inlineStr">
        <is>
          <t>Alonso Vera</t>
        </is>
      </c>
      <c r="P72" s="18" t="inlineStr">
        <is>
          <t>Diseñado</t>
        </is>
      </c>
    </row>
    <row r="73" ht="39.75" customHeight="1" s="13">
      <c r="A73" s="17" t="inlineStr">
        <is>
          <t>PO-DEL-02</t>
        </is>
      </c>
      <c r="B73" s="17" t="inlineStr">
        <is>
          <t>15 Eliminar evento (HU-03)</t>
        </is>
      </c>
      <c r="C73" s="17" t="inlineStr">
        <is>
          <t>Eliminar: sesión, propiedad, inexistente y con entradas vendidas</t>
        </is>
      </c>
      <c r="D73" s="17" t="inlineStr">
        <is>
          <t>HU-03</t>
        </is>
      </c>
      <c r="E73" s="17" t="inlineStr">
        <is>
          <t>R14, R2</t>
        </is>
      </c>
      <c r="F73" s="17" t="inlineStr">
        <is>
          <t>Alto</t>
        </is>
      </c>
      <c r="G73" s="17" t="inlineStr">
        <is>
          <t>Alta</t>
        </is>
      </c>
      <c r="H73" s="17" t="inlineStr">
        <is>
          <t>Sistema</t>
        </is>
      </c>
      <c r="I73" s="17" t="inlineStr">
        <is>
          <t>Funcional</t>
        </is>
      </c>
      <c r="J73" s="17" t="inlineStr">
        <is>
          <t>Tabla de decisión</t>
        </is>
      </c>
      <c r="K73" s="17" t="inlineStr">
        <is>
          <t>Como DEL-01. La regla de entradas vendidas está por acordar con Entradas.</t>
        </is>
      </c>
      <c r="L73" s="17" t="inlineStr">
        <is>
          <t>1) DELETE sin sesión, con asistente y sobre un evento ajeno.
2) DELETE de un id inexistente.
3) DELETE de un evento con entradas vendidas.</t>
        </is>
      </c>
      <c r="M73" s="17" t="inlineStr">
        <is>
          <t>401, 403 FORBIDDEN_ROLE, 403 EVENT_NOT_OWNED, 404 y 409 respectivamente.</t>
        </is>
      </c>
      <c r="N73" s="17" t="inlineStr">
        <is>
          <t>Entrega 3</t>
        </is>
      </c>
      <c r="O73" s="17" t="inlineStr">
        <is>
          <t>Alonso Vera</t>
        </is>
      </c>
      <c r="P73" s="18" t="inlineStr">
        <is>
          <t>Diseñado</t>
        </is>
      </c>
    </row>
    <row r="74" ht="51.75" customHeight="1" s="13">
      <c r="A74" s="17" t="inlineStr">
        <is>
          <t>PO-FEC-06</t>
        </is>
      </c>
      <c r="B74" s="17" t="inlineStr">
        <is>
          <t>06 Fechas y horas (HU-01)</t>
        </is>
      </c>
      <c r="C74" s="17" t="inlineStr">
        <is>
          <t>Publicar un Borrador cuya fecha ya pasó</t>
        </is>
      </c>
      <c r="D74" s="17" t="inlineStr">
        <is>
          <t>HU-04</t>
        </is>
      </c>
      <c r="E74" s="17" t="inlineStr">
        <is>
          <t>R6, R3</t>
        </is>
      </c>
      <c r="F74" s="17" t="inlineStr">
        <is>
          <t>Alto</t>
        </is>
      </c>
      <c r="G74" s="17" t="inlineStr">
        <is>
          <t>Alta</t>
        </is>
      </c>
      <c r="H74" s="17" t="inlineStr">
        <is>
          <t>Sistema</t>
        </is>
      </c>
      <c r="I74" s="17" t="inlineStr">
        <is>
          <t>Funcional</t>
        </is>
      </c>
      <c r="J74" s="17" t="inlineStr">
        <is>
          <t>Valores límite</t>
        </is>
      </c>
      <c r="K74" s="17" t="inlineStr">
        <is>
          <t>Dos Borradores completos de Org A (con hora de término, cantidad y tipo): uno con fecha_evento = ayer y otro con fecha_evento = hoy (America/Santiago). El de ayer se carga directo en MongoDB con Compass, porque la API no permite crearlo con fecha pasada (FEC-01).</t>
        </is>
      </c>
      <c r="L74" s="17" t="inlineStr">
        <is>
          <t>1) POST …/mios/{id}/publicar sobre el Borrador con fecha de ayer.
2) GET …/mios/{id} y GET …/cambios-estado del mismo evento.
3) POST …/mios/{id}/publicar sobre el Borrador con fecha de hoy.</t>
        </is>
      </c>
      <c r="M74" s="17" t="inlineStr">
        <is>
          <t>Ayer: 400 con detalle en fecha_evento; el evento sigue en BORRADOR y el historial no cambia. Hoy: 200 PUBLICADO. La HU-04 no lista la fecha entre las condiciones para publicar: si el paso 1 responde 200, se reporta un defecto (severidad Mayor, riesgo «evento inválido publicado») y se consulta a TITEC.</t>
        </is>
      </c>
      <c r="N74" s="17" t="inlineStr">
        <is>
          <t>Entrega 1</t>
        </is>
      </c>
      <c r="O74" s="17" t="inlineStr">
        <is>
          <t>Alonso Vera</t>
        </is>
      </c>
      <c r="P74" s="18" t="inlineStr">
        <is>
          <t>Diseñado</t>
        </is>
      </c>
    </row>
    <row r="75" ht="39.75" customHeight="1" s="13">
      <c r="A75" s="17" t="inlineStr">
        <is>
          <t>PO-NOT-01</t>
        </is>
      </c>
      <c r="B75" s="17" t="inlineStr">
        <is>
          <t>16 Notificar cambios de estado (HU-07)</t>
        </is>
      </c>
      <c r="C75" s="17" t="inlineStr">
        <is>
          <t>Mensajes de cambio de estado hacia los otros servicios (tabla de salida)</t>
        </is>
      </c>
      <c r="D75" s="17" t="inlineStr">
        <is>
          <t>HU-07</t>
        </is>
      </c>
      <c r="E75" s="17" t="inlineStr">
        <is>
          <t>R8, R13</t>
        </is>
      </c>
      <c r="F75" s="17" t="inlineStr">
        <is>
          <t>Alto</t>
        </is>
      </c>
      <c r="G75" s="17" t="inlineStr">
        <is>
          <t>Alta</t>
        </is>
      </c>
      <c r="H75" s="17" t="inlineStr">
        <is>
          <t>Integración</t>
        </is>
      </c>
      <c r="I75" s="17" t="inlineStr">
        <is>
          <t>Funcional</t>
        </is>
      </c>
      <c r="J75" s="17" t="inlineStr">
        <is>
          <t>Tabla de decisión</t>
        </is>
      </c>
      <c r="K75" s="17" t="inlineStr">
        <is>
          <t>Avance 2 (22/10) con la tabla de salida mensajes_salientes (patrón outbox, ADR-0003). Seed cargado; Compass conectado a panel_organizador. Mientras no haya broker, la tabla es el punto de observación (contingencia de R13).</t>
        </is>
      </c>
      <c r="L75" s="17" t="inlineStr">
        <is>
          <t>1) Org A crea un Borrador válido y revisa mensajes_salientes.
2) Publica el Borrador y revisa mensajes_salientes.
3) Edita sólo la descripción del evento publicado.
4) Edita la fecha y la hora del evento publicado.
5) Revisa el sobre y el cuerpo de cualquier mensaje.
6) Con el broker o el destino caído (cuando exista), publica otro Borrador.</t>
        </is>
      </c>
      <c r="M75" s="17" t="inlineStr">
        <is>
          <t>Crear: un mensaje sólo para Entradas, ninguno para Catálogo. Publicar: mensajes para Catálogo, Entradas, Check-in (tipo_cambio PUBLICADO), Notificaciones y Promociones, y el organizador recibe 200 sin esperar a los consumidores. Editar la descripción: Catálogo y Entradas. Reprogramar: además Notificaciones con evento_reprogramado y la nueva fecha y hora. El sobre trae version, tipo, fecha_cambio e id_evento; ningún mensaje lleva la cookie ni rut, correo o nombre del organizador. Con el destino caído el mensaje queda PENDIENTE o FALLIDO para reintento: no se pierde.</t>
        </is>
      </c>
      <c r="N75" s="17" t="inlineStr">
        <is>
          <t>Entrega 2</t>
        </is>
      </c>
      <c r="O75" s="17" t="inlineStr">
        <is>
          <t>Christopher Okinggton</t>
        </is>
      </c>
      <c r="P75" s="18" t="inlineStr">
        <is>
          <t>Diseñado</t>
        </is>
      </c>
    </row>
  </sheetData>
  <autoFilter ref="A4:P75"/>
  <dataValidations count="1">
    <dataValidation sqref="P5:P75" showDropDown="0" showInputMessage="0" showErrorMessage="0" allowBlank="1" type="list" errorStyle="stop" operator="between">
      <formula1>"Diseñado,Postergado,Ejecutado - OK,Ejecutado - Falla,Bloqueado,Pendiente"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12" min="1" max="1"/>
    <col width="12" customWidth="1" style="12" min="2" max="2"/>
    <col width="60" customWidth="1" style="12" min="3" max="3"/>
    <col width="12" customWidth="1" style="12" min="4" max="4"/>
    <col width="40" customWidth="1" style="12" min="5" max="5"/>
  </cols>
  <sheetData>
    <row r="1" ht="16.15" customHeight="1" s="13">
      <c r="A1" s="14" t="inlineStr">
        <is>
          <t>Matriz de trazabilidad: requisito → riesgo → casos</t>
        </is>
      </c>
    </row>
    <row r="3" ht="15" customHeight="1" s="13">
      <c r="A3" s="16" t="inlineStr">
        <is>
          <t>Requisito / HU</t>
        </is>
      </c>
      <c r="B3" s="16" t="inlineStr">
        <is>
          <t>Riesgo(s)</t>
        </is>
      </c>
      <c r="C3" s="16" t="inlineStr">
        <is>
          <t>Casos TestLink</t>
        </is>
      </c>
      <c r="D3" s="16" t="inlineStr">
        <is>
          <t>Importancia</t>
        </is>
      </c>
      <c r="E3" s="16" t="inlineStr">
        <is>
          <t>Estado</t>
        </is>
      </c>
    </row>
    <row r="4" ht="30" customHeight="1" s="13">
      <c r="A4" s="17" t="inlineStr">
        <is>
          <t>HU-06 Verificación de autorización (sesión, rol, fail-secure)</t>
        </is>
      </c>
      <c r="B4" s="17" t="inlineStr">
        <is>
          <t>R1</t>
        </is>
      </c>
      <c r="C4" s="17" t="inlineStr">
        <is>
          <t>PO-AUT-01 a 06; PO-CON-07; PO-E2E-03</t>
        </is>
      </c>
      <c r="D4" s="17" t="inlineStr">
        <is>
          <t>Alta</t>
        </is>
      </c>
      <c r="E4" s="17" t="inlineStr">
        <is>
          <t>Entrega 1: 5 de 8 casos priorizados; el resto, postergado</t>
        </is>
      </c>
    </row>
    <row r="5" ht="30" customHeight="1" s="13">
      <c r="A5" s="17" t="inlineStr">
        <is>
          <t>HU-06 Validación de propiedad del evento</t>
        </is>
      </c>
      <c r="B5" s="17" t="inlineStr">
        <is>
          <t>R2</t>
        </is>
      </c>
      <c r="C5" s="17" t="inlineStr">
        <is>
          <t>PO-PRO-01 a 05; PO-E2E-03</t>
        </is>
      </c>
      <c r="D5" s="17" t="inlineStr">
        <is>
          <t>Alta</t>
        </is>
      </c>
      <c r="E5" s="17" t="inlineStr">
        <is>
          <t>Entrega 1: 4 de 6 casos priorizados; el resto, postergado</t>
        </is>
      </c>
    </row>
    <row r="6" ht="42" customHeight="1" s="13">
      <c r="A6" s="17" t="inlineStr">
        <is>
          <t>HU-01 Crear un evento (datos y validaciones)</t>
        </is>
      </c>
      <c r="B6" s="17" t="inlineStr">
        <is>
          <t>R5, R12</t>
        </is>
      </c>
      <c r="C6" s="17" t="inlineStr">
        <is>
          <t>PO-VAL-01 a 11; PO-UI-01; PO-E2E-01, 02</t>
        </is>
      </c>
      <c r="D6" s="17" t="inlineStr">
        <is>
          <t>Media</t>
        </is>
      </c>
      <c r="E6" s="17" t="inlineStr">
        <is>
          <t>Entrega 1: 8 de 14 casos priorizados; el resto, postergado</t>
        </is>
      </c>
    </row>
    <row r="7" ht="30" customHeight="1" s="13">
      <c r="A7" s="17" t="inlineStr">
        <is>
          <t>HU-01 Fechas y horas del evento</t>
        </is>
      </c>
      <c r="B7" s="17" t="inlineStr">
        <is>
          <t>R6</t>
        </is>
      </c>
      <c r="C7" s="17" t="inlineStr">
        <is>
          <t>PO-FEC-01 a 06</t>
        </is>
      </c>
      <c r="D7" s="17" t="inlineStr">
        <is>
          <t>Media</t>
        </is>
      </c>
      <c r="E7" s="17" t="inlineStr">
        <is>
          <t>Entrega 1: 3 de 6 casos priorizados; el resto, postergado</t>
        </is>
      </c>
    </row>
    <row r="8" ht="30" customHeight="1" s="13">
      <c r="A8" s="17" t="inlineStr">
        <is>
          <t>HU-04 Publicar un evento</t>
        </is>
      </c>
      <c r="B8" s="17" t="inlineStr">
        <is>
          <t>R3</t>
        </is>
      </c>
      <c r="C8" s="17" t="inlineStr">
        <is>
          <t>PO-PUB-01 a 05; PO-FEC-06; PO-E2E-01, 02</t>
        </is>
      </c>
      <c r="D8" s="17" t="inlineStr">
        <is>
          <t>Alta</t>
        </is>
      </c>
      <c r="E8" s="17" t="inlineStr">
        <is>
          <t>Entrega 1: 7 de 8 casos priorizados; el resto, postergado</t>
        </is>
      </c>
    </row>
    <row r="9" ht="30" customHeight="1" s="13">
      <c r="A9" s="17" t="inlineStr">
        <is>
          <t>HU-05 Ver mis eventos y detalle</t>
        </is>
      </c>
      <c r="B9" s="17" t="inlineStr">
        <is>
          <t>R11, R12</t>
        </is>
      </c>
      <c r="C9" s="17" t="inlineStr">
        <is>
          <t>PO-LIS-01 a 04; PO-UI-02</t>
        </is>
      </c>
      <c r="D9" s="17" t="inlineStr">
        <is>
          <t>Baja</t>
        </is>
      </c>
      <c r="E9" s="17" t="inlineStr">
        <is>
          <t>Entrega 1: 1 de 5 casos priorizados; el resto, postergado</t>
        </is>
      </c>
    </row>
    <row r="10" ht="30" customHeight="1" s="13">
      <c r="A10" s="17" t="inlineStr">
        <is>
          <t>Visibilidad por estado (Catálogo, Promociones, Check-in, Notificaciones)</t>
        </is>
      </c>
      <c r="B10" s="17" t="inlineStr">
        <is>
          <t>R4</t>
        </is>
      </c>
      <c r="C10" s="17" t="inlineStr">
        <is>
          <t>PO-EXP-01 a 04</t>
        </is>
      </c>
      <c r="D10" s="17" t="inlineStr">
        <is>
          <t>Alta</t>
        </is>
      </c>
      <c r="E10" s="17" t="inlineStr">
        <is>
          <t>Diseñado · Entrega 1</t>
        </is>
      </c>
    </row>
    <row r="11" ht="30" customHeight="1" s="13">
      <c r="A11" s="17" t="inlineStr">
        <is>
          <t>Historial de cambios de estado (Notificaciones)</t>
        </is>
      </c>
      <c r="B11" s="17" t="inlineStr">
        <is>
          <t>R8</t>
        </is>
      </c>
      <c r="C11" s="17" t="inlineStr">
        <is>
          <t>PO-HIS-01 a 04</t>
        </is>
      </c>
      <c r="D11" s="17" t="inlineStr">
        <is>
          <t>Media</t>
        </is>
      </c>
      <c r="E11" s="17" t="inlineStr">
        <is>
          <t>Entrega 1: 1 de 3 casos priorizados; el resto, en Entregas 2 y 3 o postergado</t>
        </is>
      </c>
    </row>
    <row r="12" ht="42" customHeight="1" s="13">
      <c r="A12" s="17" t="inlineStr">
        <is>
          <t>Contratos e integración con Catálogo, Entradas, Check-in y Promociones</t>
        </is>
      </c>
      <c r="B12" s="17" t="inlineStr">
        <is>
          <t>R7, R10</t>
        </is>
      </c>
      <c r="C12" s="17" t="inlineStr">
        <is>
          <t>PO-CON-01 a 06; PO-BUS-01 a 04</t>
        </is>
      </c>
      <c r="D12" s="17" t="inlineStr">
        <is>
          <t>Media</t>
        </is>
      </c>
      <c r="E12" s="17" t="inlineStr">
        <is>
          <t>Entrega 1: 6 de 10 casos priorizados; el resto, postergado</t>
        </is>
      </c>
    </row>
    <row r="13" ht="30" customHeight="1" s="13">
      <c r="A13" s="17" t="inlineStr">
        <is>
          <t>Estándares de UI (checklist visual)</t>
        </is>
      </c>
      <c r="B13" s="17" t="inlineStr">
        <is>
          <t>R12</t>
        </is>
      </c>
      <c r="C13" s="17" t="inlineStr">
        <is>
          <t>PO-AUT-06; PO-UI-03</t>
        </is>
      </c>
      <c r="D13" s="17" t="inlineStr">
        <is>
          <t>Baja</t>
        </is>
      </c>
      <c r="E13" s="17" t="inlineStr">
        <is>
          <t>Entrega 1: AUT-06 (exploratorio de la interfaz) priorizado; UI-03 postergado</t>
        </is>
      </c>
    </row>
    <row r="14" ht="30" customHeight="1" s="13">
      <c r="A14" s="17" t="inlineStr">
        <is>
          <t>Rendimiento y carga (no funcional)</t>
        </is>
      </c>
      <c r="B14" s="17" t="inlineStr">
        <is>
          <t>R9</t>
        </is>
      </c>
      <c r="C14" s="17" t="inlineStr">
        <is>
          <t>PO-REN-01 a 03</t>
        </is>
      </c>
      <c r="D14" s="17" t="inlineStr">
        <is>
          <t>Media</t>
        </is>
      </c>
      <c r="E14" s="17" t="inlineStr">
        <is>
          <t>Diseñado contra OpenAPI · Entrega 3</t>
        </is>
      </c>
    </row>
    <row r="15" ht="30" customHeight="1" s="13">
      <c r="A15" s="17" t="inlineStr">
        <is>
          <t>HU-02 Editar un evento</t>
        </is>
      </c>
      <c r="B15" s="17" t="inlineStr">
        <is>
          <t>R14</t>
        </is>
      </c>
      <c r="C15" s="17" t="inlineStr">
        <is>
          <t>PO-ED-01 a 03</t>
        </is>
      </c>
      <c r="D15" s="17" t="inlineStr">
        <is>
          <t>Alta</t>
        </is>
      </c>
      <c r="E15" s="17" t="inlineStr">
        <is>
          <t>Diseñado contra OpenAPI · Entrega 2</t>
        </is>
      </c>
    </row>
    <row r="16" ht="30" customHeight="1" s="13">
      <c r="A16" s="17" t="inlineStr">
        <is>
          <t>HU-03 Eliminar un evento</t>
        </is>
      </c>
      <c r="B16" s="17" t="inlineStr">
        <is>
          <t>R14</t>
        </is>
      </c>
      <c r="C16" s="17" t="inlineStr">
        <is>
          <t>PO-DEL-01, 02</t>
        </is>
      </c>
      <c r="D16" s="17" t="inlineStr">
        <is>
          <t>Alta</t>
        </is>
      </c>
      <c r="E16" s="17" t="inlineStr">
        <is>
          <t>Diseñado contra OpenAPI · Entrega 3</t>
        </is>
      </c>
    </row>
    <row r="17" ht="30" customHeight="1" s="13">
      <c r="A17" s="17" t="inlineStr">
        <is>
          <t>HU-07 Notificar cambios de estado (broker)</t>
        </is>
      </c>
      <c r="B17" s="17" t="inlineStr">
        <is>
          <t>R13</t>
        </is>
      </c>
      <c r="C17" s="17" t="inlineStr">
        <is>
          <t>PO-NOT-01</t>
        </is>
      </c>
      <c r="D17" s="17" t="inlineStr">
        <is>
          <t>Alta</t>
        </is>
      </c>
      <c r="E17" s="17" t="inlineStr">
        <is>
          <t>Diseñado · Entrega 2 sobre la tabla de salida del Avance 2; envío real al broker en la Entrega 3 (R13)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2" min="1" max="1"/>
    <col width="12" customWidth="1" style="12" min="2" max="5"/>
  </cols>
  <sheetData>
    <row r="1" ht="16.15" customHeight="1" s="13">
      <c r="A1" s="14" t="inlineStr">
        <is>
          <t>Resumen de casos por técnica e importancia (se calcula desde la hoja Casos)</t>
        </is>
      </c>
    </row>
    <row r="2"/>
    <row r="3" ht="15" customHeight="1" s="13">
      <c r="A3" s="16" t="inlineStr">
        <is>
          <t>Técnica</t>
        </is>
      </c>
      <c r="B3" s="16" t="inlineStr">
        <is>
          <t>Alta</t>
        </is>
      </c>
      <c r="C3" s="16" t="inlineStr">
        <is>
          <t>Media</t>
        </is>
      </c>
      <c r="D3" s="16" t="inlineStr">
        <is>
          <t>Baja</t>
        </is>
      </c>
      <c r="E3" s="16" t="inlineStr">
        <is>
          <t>Total</t>
        </is>
      </c>
    </row>
    <row r="4" ht="15" customHeight="1" s="13">
      <c r="A4" s="19" t="inlineStr">
        <is>
          <t>Tabla de decisión</t>
        </is>
      </c>
      <c r="B4" s="20">
        <f>COUNTIFS(Casos!$J$5:$J$75,$A4,Casos!$G$5:$G$75,"Alta",Casos!$N$5:$N$75,"Entrega 1",Casos!$P$5:$P$75,"&lt;&gt;Postergado")</f>
        <v/>
      </c>
      <c r="C4" s="20">
        <f>COUNTIFS(Casos!$J$5:$J$75,$A4,Casos!$G$5:$G$75,"Media",Casos!$N$5:$N$75,"Entrega 1",Casos!$P$5:$P$75,"&lt;&gt;Postergado")</f>
        <v/>
      </c>
      <c r="D4" s="20">
        <f>COUNTIFS(Casos!$J$5:$J$75,$A4,Casos!$G$5:$G$75,"Baja",Casos!$N$5:$N$75,"Entrega 1",Casos!$P$5:$P$75,"&lt;&gt;Postergado")</f>
        <v/>
      </c>
      <c r="E4" s="20">
        <f>SUM(B4:D4)</f>
        <v/>
      </c>
    </row>
    <row r="5" ht="15" customHeight="1" s="13">
      <c r="A5" s="19" t="inlineStr">
        <is>
          <t>Partición de equivalencia</t>
        </is>
      </c>
      <c r="B5" s="20">
        <f>COUNTIFS(Casos!$J$5:$J$75,$A5,Casos!$G$5:$G$75,"Alta",Casos!$N$5:$N$75,"Entrega 1",Casos!$P$5:$P$75,"&lt;&gt;Postergado")</f>
        <v/>
      </c>
      <c r="C5" s="20">
        <f>COUNTIFS(Casos!$J$5:$J$75,$A5,Casos!$G$5:$G$75,"Media",Casos!$N$5:$N$75,"Entrega 1",Casos!$P$5:$P$75,"&lt;&gt;Postergado")</f>
        <v/>
      </c>
      <c r="D5" s="20">
        <f>COUNTIFS(Casos!$J$5:$J$75,$A5,Casos!$G$5:$G$75,"Baja",Casos!$N$5:$N$75,"Entrega 1",Casos!$P$5:$P$75,"&lt;&gt;Postergado")</f>
        <v/>
      </c>
      <c r="E5" s="20">
        <f>SUM(B5:D5)</f>
        <v/>
      </c>
    </row>
    <row r="6" ht="15" customHeight="1" s="13">
      <c r="A6" s="19" t="inlineStr">
        <is>
          <t>Valores límite</t>
        </is>
      </c>
      <c r="B6" s="20">
        <f>COUNTIFS(Casos!$J$5:$J$75,$A6,Casos!$G$5:$G$75,"Alta",Casos!$N$5:$N$75,"Entrega 1",Casos!$P$5:$P$75,"&lt;&gt;Postergado")</f>
        <v/>
      </c>
      <c r="C6" s="20">
        <f>COUNTIFS(Casos!$J$5:$J$75,$A6,Casos!$G$5:$G$75,"Media",Casos!$N$5:$N$75,"Entrega 1",Casos!$P$5:$P$75,"&lt;&gt;Postergado")</f>
        <v/>
      </c>
      <c r="D6" s="20">
        <f>COUNTIFS(Casos!$J$5:$J$75,$A6,Casos!$G$5:$G$75,"Baja",Casos!$N$5:$N$75,"Entrega 1",Casos!$P$5:$P$75,"&lt;&gt;Postergado")</f>
        <v/>
      </c>
      <c r="E6" s="20">
        <f>SUM(B6:D6)</f>
        <v/>
      </c>
    </row>
    <row r="7" ht="15" customHeight="1" s="13">
      <c r="A7" s="19" t="inlineStr">
        <is>
          <t>Transición de estados</t>
        </is>
      </c>
      <c r="B7" s="20">
        <f>COUNTIFS(Casos!$J$5:$J$75,$A7,Casos!$G$5:$G$75,"Alta",Casos!$N$5:$N$75,"Entrega 1",Casos!$P$5:$P$75,"&lt;&gt;Postergado")</f>
        <v/>
      </c>
      <c r="C7" s="20">
        <f>COUNTIFS(Casos!$J$5:$J$75,$A7,Casos!$G$5:$G$75,"Media",Casos!$N$5:$N$75,"Entrega 1",Casos!$P$5:$P$75,"&lt;&gt;Postergado")</f>
        <v/>
      </c>
      <c r="D7" s="20">
        <f>COUNTIFS(Casos!$J$5:$J$75,$A7,Casos!$G$5:$G$75,"Baja",Casos!$N$5:$N$75,"Entrega 1",Casos!$P$5:$P$75,"&lt;&gt;Postergado")</f>
        <v/>
      </c>
      <c r="E7" s="20">
        <f>SUM(B7:D7)</f>
        <v/>
      </c>
    </row>
    <row r="8" ht="15" customHeight="1" s="13">
      <c r="A8" s="19" t="inlineStr">
        <is>
          <t>Casos de uso</t>
        </is>
      </c>
      <c r="B8" s="20">
        <f>COUNTIFS(Casos!$J$5:$J$75,$A8,Casos!$G$5:$G$75,"Alta",Casos!$N$5:$N$75,"Entrega 1",Casos!$P$5:$P$75,"&lt;&gt;Postergado")</f>
        <v/>
      </c>
      <c r="C8" s="20">
        <f>COUNTIFS(Casos!$J$5:$J$75,$A8,Casos!$G$5:$G$75,"Media",Casos!$N$5:$N$75,"Entrega 1",Casos!$P$5:$P$75,"&lt;&gt;Postergado")</f>
        <v/>
      </c>
      <c r="D8" s="20">
        <f>COUNTIFS(Casos!$J$5:$J$75,$A8,Casos!$G$5:$G$75,"Baja",Casos!$N$5:$N$75,"Entrega 1",Casos!$P$5:$P$75,"&lt;&gt;Postergado")</f>
        <v/>
      </c>
      <c r="E8" s="20">
        <f>SUM(B8:D8)</f>
        <v/>
      </c>
    </row>
    <row r="9" ht="15" customHeight="1" s="13">
      <c r="A9" s="19" t="inlineStr">
        <is>
          <t>Exploratorio</t>
        </is>
      </c>
      <c r="B9" s="20">
        <f>COUNTIFS(Casos!$J$5:$J$75,$A9,Casos!$G$5:$G$75,"Alta",Casos!$N$5:$N$75,"Entrega 1",Casos!$P$5:$P$75,"&lt;&gt;Postergado")</f>
        <v/>
      </c>
      <c r="C9" s="20">
        <f>COUNTIFS(Casos!$J$5:$J$75,$A9,Casos!$G$5:$G$75,"Media",Casos!$N$5:$N$75,"Entrega 1",Casos!$P$5:$P$75,"&lt;&gt;Postergado")</f>
        <v/>
      </c>
      <c r="D9" s="20">
        <f>COUNTIFS(Casos!$J$5:$J$75,$A9,Casos!$G$5:$G$75,"Baja",Casos!$N$5:$N$75,"Entrega 1",Casos!$P$5:$P$75,"&lt;&gt;Postergado")</f>
        <v/>
      </c>
      <c r="E9" s="20">
        <f>SUM(B9:D9)</f>
        <v/>
      </c>
    </row>
    <row r="10" ht="15" customHeight="1" s="13">
      <c r="A10" s="19" t="inlineStr">
        <is>
          <t>Predicción de errores / checklist</t>
        </is>
      </c>
      <c r="B10" s="20">
        <f>COUNTIFS(Casos!$J$5:$J$75,$A10,Casos!$G$5:$G$75,"Alta",Casos!$N$5:$N$75,"Entrega 1",Casos!$P$5:$P$75,"&lt;&gt;Postergado")</f>
        <v/>
      </c>
      <c r="C10" s="20">
        <f>COUNTIFS(Casos!$J$5:$J$75,$A10,Casos!$G$5:$G$75,"Media",Casos!$N$5:$N$75,"Entrega 1",Casos!$P$5:$P$75,"&lt;&gt;Postergado")</f>
        <v/>
      </c>
      <c r="D10" s="20">
        <f>COUNTIFS(Casos!$J$5:$J$75,$A10,Casos!$G$5:$G$75,"Baja",Casos!$N$5:$N$75,"Entrega 1",Casos!$P$5:$P$75,"&lt;&gt;Postergado")</f>
        <v/>
      </c>
      <c r="E10" s="20">
        <f>SUM(B10:D10)</f>
        <v/>
      </c>
    </row>
    <row r="11" ht="15" customHeight="1" s="13">
      <c r="A11" s="19" t="inlineStr">
        <is>
          <t>Análisis estático</t>
        </is>
      </c>
      <c r="B11" s="20">
        <f>COUNTIFS(Casos!$J$5:$J$75,$A11,Casos!$G$5:$G$75,"Alta",Casos!$N$5:$N$75,"Entrega 1",Casos!$P$5:$P$75,"&lt;&gt;Postergado")</f>
        <v/>
      </c>
      <c r="C11" s="20">
        <f>COUNTIFS(Casos!$J$5:$J$75,$A11,Casos!$G$5:$G$75,"Media",Casos!$N$5:$N$75,"Entrega 1",Casos!$P$5:$P$75,"&lt;&gt;Postergado")</f>
        <v/>
      </c>
      <c r="D11" s="20">
        <f>COUNTIFS(Casos!$J$5:$J$75,$A11,Casos!$G$5:$G$75,"Baja",Casos!$N$5:$N$75,"Entrega 1",Casos!$P$5:$P$75,"&lt;&gt;Postergado")</f>
        <v/>
      </c>
      <c r="E11" s="20">
        <f>SUM(B11:D11)</f>
        <v/>
      </c>
    </row>
    <row r="12" ht="15" customHeight="1" s="13">
      <c r="A12" s="19" t="inlineStr">
        <is>
          <t>Caja blanca (cobertura)</t>
        </is>
      </c>
      <c r="B12" s="20">
        <f>COUNTIFS(Casos!$J$5:$J$75,$A12,Casos!$G$5:$G$75,"Alta",Casos!$N$5:$N$75,"Entrega 1",Casos!$P$5:$P$75,"&lt;&gt;Postergado")</f>
        <v/>
      </c>
      <c r="C12" s="20">
        <f>COUNTIFS(Casos!$J$5:$J$75,$A12,Casos!$G$5:$G$75,"Media",Casos!$N$5:$N$75,"Entrega 1",Casos!$P$5:$P$75,"&lt;&gt;Postergado")</f>
        <v/>
      </c>
      <c r="D12" s="20">
        <f>COUNTIFS(Casos!$J$5:$J$75,$A12,Casos!$G$5:$G$75,"Baja",Casos!$N$5:$N$75,"Entrega 1",Casos!$P$5:$P$75,"&lt;&gt;Postergado")</f>
        <v/>
      </c>
      <c r="E12" s="20">
        <f>SUM(B12:D12)</f>
        <v/>
      </c>
    </row>
    <row r="13" ht="15" customHeight="1" s="13">
      <c r="A13" s="19" t="inlineStr">
        <is>
          <t>Regresión automatizada</t>
        </is>
      </c>
      <c r="B13" s="20">
        <f>COUNTIFS(Casos!$J$5:$J$75,$A13,Casos!$G$5:$G$75,"Alta",Casos!$N$5:$N$75,"Entrega 1",Casos!$P$5:$P$75,"&lt;&gt;Postergado")</f>
        <v/>
      </c>
      <c r="C13" s="20">
        <f>COUNTIFS(Casos!$J$5:$J$75,$A13,Casos!$G$5:$G$75,"Media",Casos!$N$5:$N$75,"Entrega 1",Casos!$P$5:$P$75,"&lt;&gt;Postergado")</f>
        <v/>
      </c>
      <c r="D13" s="20">
        <f>COUNTIFS(Casos!$J$5:$J$75,$A13,Casos!$G$5:$G$75,"Baja",Casos!$N$5:$N$75,"Entrega 1",Casos!$P$5:$P$75,"&lt;&gt;Postergado")</f>
        <v/>
      </c>
      <c r="E13" s="20">
        <f>SUM(B13:D13)</f>
        <v/>
      </c>
    </row>
    <row r="14" ht="15" customHeight="1" s="13">
      <c r="A14" s="19" t="inlineStr">
        <is>
          <t>Pruebas de rendimiento</t>
        </is>
      </c>
      <c r="B14" s="20">
        <f>COUNTIFS(Casos!$J$5:$J$75,$A14,Casos!$G$5:$G$75,"Alta",Casos!$N$5:$N$75,"Entrega 1",Casos!$P$5:$P$75,"&lt;&gt;Postergado")</f>
        <v/>
      </c>
      <c r="C14" s="20">
        <f>COUNTIFS(Casos!$J$5:$J$75,$A14,Casos!$G$5:$G$75,"Media",Casos!$N$5:$N$75,"Entrega 1",Casos!$P$5:$P$75,"&lt;&gt;Postergado")</f>
        <v/>
      </c>
      <c r="D14" s="20">
        <f>COUNTIFS(Casos!$J$5:$J$75,$A14,Casos!$G$5:$G$75,"Baja",Casos!$N$5:$N$75,"Entrega 1",Casos!$P$5:$P$75,"&lt;&gt;Postergado")</f>
        <v/>
      </c>
      <c r="E14" s="20">
        <f>SUM(B14:D14)</f>
        <v/>
      </c>
    </row>
    <row r="15" ht="15" customHeight="1" s="13">
      <c r="A15" s="21" t="inlineStr">
        <is>
          <t>Total Entrega 1 (priorizados)</t>
        </is>
      </c>
      <c r="B15" s="22">
        <f>SUM(B4:B14)</f>
        <v/>
      </c>
      <c r="C15" s="22">
        <f>SUM(C4:C14)</f>
        <v/>
      </c>
      <c r="D15" s="22">
        <f>SUM(D4:D14)</f>
        <v/>
      </c>
      <c r="E15" s="22">
        <f>SUM(E4:E14)</f>
        <v/>
      </c>
    </row>
    <row r="16"/>
    <row r="17" ht="15" customHeight="1" s="13">
      <c r="A17" s="23" t="inlineStr">
        <is>
          <t>Casos por entrega</t>
        </is>
      </c>
    </row>
    <row r="18" ht="15" customHeight="1" s="13">
      <c r="A18" s="24" t="inlineStr">
        <is>
          <t>Entrega 1</t>
        </is>
      </c>
      <c r="B18" s="24">
        <f>COUNTIFS(Casos!$N$5:$N$75,A18,Casos!$P$5:$P$75,"&lt;&gt;Postergado")</f>
        <v/>
      </c>
    </row>
    <row r="19" ht="15" customHeight="1" s="13">
      <c r="A19" s="24" t="inlineStr">
        <is>
          <t>Entrega 2</t>
        </is>
      </c>
      <c r="B19" s="24">
        <f>COUNTIF(Casos!$N$5:$N$75,A19)</f>
        <v/>
      </c>
    </row>
    <row r="20" ht="15" customHeight="1" s="13">
      <c r="A20" s="24" t="inlineStr">
        <is>
          <t>Entrega 3</t>
        </is>
      </c>
      <c r="B20" s="24">
        <f>COUNTIF(Casos!$N$5:$N$75,A20)</f>
        <v/>
      </c>
    </row>
    <row r="21" ht="15" customHeight="1" s="13">
      <c r="A21" s="24" t="inlineStr">
        <is>
          <t>Entrega 1 postergados</t>
        </is>
      </c>
      <c r="B21" s="24">
        <f>COUNTIF(Casos!$P$5:$P$75,"Postergado")</f>
        <v/>
      </c>
    </row>
    <row r="22" ht="15" customHeight="1" s="13">
      <c r="A22" s="23" t="inlineStr">
        <is>
          <t>Total diseñados</t>
        </is>
      </c>
      <c r="B22" s="23">
        <f>SUM(B18:B21)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2026-10-22T21:59:36Z</dcterms:created>
  <dcterms:modified xmlns:dcterms="http://purl.org/dc/terms/" xmlns:xsi="http://www.w3.org/2001/XMLSchema-instance" xsi:type="dcterms:W3CDTF">2026-10-22T23:35:59Z</dcterms:modified>
  <cp:revision>0</cp:revision>
</cp:coreProperties>
</file>