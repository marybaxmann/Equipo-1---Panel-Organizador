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gistro de riesgos" sheetId="3" state="visible" r:id="rId3"/>
    <sheet xmlns:r="http://schemas.openxmlformats.org/officeDocument/2006/relationships" name="Matriz 3x3" sheetId="4" state="visible" r:id="rId4"/>
    <sheet xmlns:r="http://schemas.openxmlformats.org/officeDocument/2006/relationships" name="Resumen" sheetId="5" state="visible" r:id="rId5"/>
  </sheets>
  <definedNames>
    <definedName name="_xlnm._FilterDatabase" localSheetId="2" hidden="1">'Registro de riesgos'!$A$4:$Q$44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C9A227"/>
      <sz val="10"/>
    </font>
    <font>
      <name val="Calibri"/>
      <charset val="1"/>
      <family val="0"/>
      <b val="1"/>
      <color rgb="FF0B3D59"/>
      <sz val="20"/>
    </font>
    <font>
      <name val="Calibri"/>
      <charset val="1"/>
      <family val="0"/>
      <i val="1"/>
      <color rgb="FF222222"/>
      <sz val="11"/>
    </font>
    <font>
      <name val="Calibri"/>
      <charset val="1"/>
      <family val="0"/>
      <b val="1"/>
      <color rgb="FF0B3D59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B3D59"/>
      <sz val="14"/>
    </font>
    <font>
      <name val="Calibri"/>
      <charset val="1"/>
      <family val="0"/>
      <color rgb="FF222222"/>
      <sz val="11"/>
    </font>
    <font>
      <name val="Calibri"/>
      <charset val="1"/>
      <family val="0"/>
      <b val="1"/>
      <color rgb="FF222222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b val="1"/>
      <color rgb="FF0B3D59"/>
      <sz val="18"/>
    </font>
    <font>
      <name val="Calibri"/>
      <charset val="1"/>
      <family val="0"/>
      <b val="1"/>
      <color rgb="FFC9A227"/>
      <sz val="13"/>
    </font>
    <font>
      <name val="Calibri"/>
      <charset val="1"/>
      <family val="0"/>
      <b val="1"/>
      <color rgb="FF0B3D59"/>
      <sz val="16"/>
    </font>
    <font>
      <name val="Calibri"/>
      <charset val="1"/>
      <family val="0"/>
      <i val="1"/>
      <color rgb="FF222222"/>
      <sz val="10"/>
    </font>
  </fonts>
  <fills count="8">
    <fill>
      <patternFill/>
    </fill>
    <fill>
      <patternFill patternType="gray125"/>
    </fill>
    <fill>
      <patternFill patternType="solid">
        <fgColor rgb="FFFFF4CC"/>
        <bgColor rgb="FFEDEFF2"/>
      </patternFill>
    </fill>
    <fill>
      <patternFill patternType="solid">
        <fgColor rgb="FFEDEFF2"/>
        <bgColor rgb="FFFFFFFF"/>
      </patternFill>
    </fill>
    <fill>
      <patternFill patternType="solid">
        <fgColor rgb="FFB83A3A"/>
        <bgColor rgb="FF993366"/>
      </patternFill>
    </fill>
    <fill>
      <patternFill patternType="solid">
        <fgColor rgb="FFE0B324"/>
        <bgColor rgb="FFC9A227"/>
      </patternFill>
    </fill>
    <fill>
      <patternFill patternType="solid">
        <fgColor rgb="FF2E7D4F"/>
        <bgColor rgb="FF008080"/>
      </patternFill>
    </fill>
    <fill>
      <patternFill patternType="solid">
        <fgColor rgb="FF0B3D59"/>
        <bgColor rgb="FF222222"/>
      </patternFill>
    </fill>
  </fills>
  <borders count="2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 wrapText="1"/>
    </xf>
    <xf numFmtId="0" fontId="11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 wrapText="1"/>
    </xf>
    <xf numFmtId="0" fontId="11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0B3D59"/>
          <bgColor rgb="FF000000"/>
        </patternFill>
      </fill>
    </dxf>
    <dxf>
      <fill>
        <patternFill patternType="solid">
          <fgColor rgb="FFED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2E7D4F"/>
          <bgColor rgb="FF000000"/>
        </patternFill>
      </fill>
    </dxf>
    <dxf>
      <fill>
        <patternFill patternType="solid">
          <fgColor rgb="FFB83A3A"/>
          <bgColor rgb="FF000000"/>
        </patternFill>
      </fill>
    </dxf>
    <dxf>
      <fill>
        <patternFill patternType="solid">
          <fgColor rgb="FFE0B324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B83A3A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E0B324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2E7D4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3A3A"/>
      <rgbColor rgb="FFFFF4CC"/>
      <rgbColor rgb="FFEDEFF2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324"/>
      <rgbColor rgb="FFC9A227"/>
      <rgbColor rgb="FFFF6600"/>
      <rgbColor rgb="FF666666"/>
      <rgbColor rgb="FF969696"/>
      <rgbColor rgb="FF0B3D59"/>
      <rgbColor rgb="FF2E7D4F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C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24" customWidth="1" style="34" min="2" max="2"/>
    <col width="95" customWidth="1" style="34" min="3" max="3"/>
  </cols>
  <sheetData>
    <row r="2" ht="15" customHeight="1" s="35">
      <c r="B2" s="36" t="inlineStr">
        <is>
          <t>UNIVERSIDAD DE VALPARAÍSO · CIN 421 / INF423 — Prueba de Sistemas · 2° Semestre 2026</t>
        </is>
      </c>
    </row>
    <row r="3" ht="24" customHeight="1" s="35">
      <c r="B3" s="37" t="inlineStr">
        <is>
          <t>Plantilla · Matriz de Riesgos</t>
        </is>
      </c>
    </row>
    <row r="4" ht="15" customHeight="1" s="35">
      <c r="B4" s="38" t="inlineStr">
        <is>
          <t>Proyecto TicketU · un archivo por grupo QA y microservicio · Entrega 1</t>
        </is>
      </c>
    </row>
    <row r="6" ht="15" customHeight="1" s="35">
      <c r="B6" s="39" t="inlineStr">
        <is>
          <t>Grupo QA</t>
        </is>
      </c>
      <c r="C6" s="40" t="inlineStr">
        <is>
          <t>QA Panel Organizador</t>
        </is>
      </c>
    </row>
    <row r="7" ht="15" customHeight="1" s="35">
      <c r="B7" s="39" t="inlineStr">
        <is>
          <t>Microservicio</t>
        </is>
      </c>
      <c r="C7" s="40" t="inlineStr">
        <is>
          <t>Panel Organizador (gestión de eventos del organizador)</t>
        </is>
      </c>
    </row>
    <row r="8" ht="15" customHeight="1" s="35">
      <c r="B8" s="39" t="inlineStr">
        <is>
          <t>Equipo TITEC</t>
        </is>
      </c>
      <c r="C8" s="40" t="inlineStr">
        <is>
          <t>Equipo 1 – Panel Organizador</t>
        </is>
      </c>
    </row>
    <row r="9" ht="15" customHeight="1" s="35">
      <c r="B9" s="39" t="inlineStr">
        <is>
          <t>Versión / entrega</t>
        </is>
      </c>
      <c r="C9" s="40" t="inlineStr">
        <is>
          <t>v1.0 · Entrega 1 · commit 1d8a68e (repo de presentación)</t>
        </is>
      </c>
    </row>
    <row r="10" ht="15" customHeight="1" s="35">
      <c r="B10" s="39" t="inlineStr">
        <is>
          <t>Fecha</t>
        </is>
      </c>
      <c r="C10" s="40" t="inlineStr">
        <is>
          <t>22/10/2026</t>
        </is>
      </c>
    </row>
    <row r="12" ht="17.25" customHeight="1" s="35">
      <c r="B12" s="41" t="inlineStr">
        <is>
          <t>Cómo usarla</t>
        </is>
      </c>
    </row>
    <row r="13" ht="31.5" customHeight="1" s="35">
      <c r="B13" s="39" t="inlineStr">
        <is>
          <t>1. Identificar</t>
        </is>
      </c>
      <c r="C13" s="42" t="inlineStr">
        <is>
          <t>En «Registro de riesgos», escriban un riesgo por fila: al menos 8 de producto y 3 de proyecto. Fuentes: requisitos, historias de usuario, contrato OpenAPI y estrategia del grupo.</t>
        </is>
      </c>
    </row>
    <row r="14" ht="31.5" customHeight="1" s="35">
      <c r="B14" s="39" t="inlineStr">
        <is>
          <t>2. Evaluar</t>
        </is>
      </c>
      <c r="C14" s="42" t="inlineStr">
        <is>
          <t>Asignen Probabilidad e Impacto de 1 a 3 según la hoja «Escalas», con acuerdo de todo el grupo.</t>
        </is>
      </c>
    </row>
    <row r="15" ht="31.5" customHeight="1" s="35">
      <c r="B15" s="39" t="inlineStr">
        <is>
          <t>3. Calcular</t>
        </is>
      </c>
      <c r="C15" s="42" t="inlineStr">
        <is>
          <t>Nivel (P × I), Clasificación e Importancia TestLink se calculan solos: no editen las celdas grises.</t>
        </is>
      </c>
    </row>
    <row r="16" ht="31.5" customHeight="1" s="35">
      <c r="B16" s="39" t="inlineStr">
        <is>
          <t>4. Responder</t>
        </is>
      </c>
      <c r="C16" s="42" t="inlineStr">
        <is>
          <t>Elijan la respuesta (Mitigar con pruebas, Aceptar, Transferir, Plan de contingencia) y escriban la técnica o acción concreta.</t>
        </is>
      </c>
    </row>
    <row r="17" ht="31.5" customHeight="1" s="35">
      <c r="B17" s="39" t="inlineStr">
        <is>
          <t>5. Priorizar</t>
        </is>
      </c>
      <c r="C17" s="42" t="inlineStr">
        <is>
          <t>Definan el orden de ejecución: primero los altos, respetando dependencias técnicas y lógicas.</t>
        </is>
      </c>
    </row>
    <row r="18" ht="31.5" customHeight="1" s="35">
      <c r="B18" s="39" t="inlineStr">
        <is>
          <t>6. Trazar</t>
        </is>
      </c>
      <c r="C18" s="42" t="inlineStr">
        <is>
          <t>Anoten el requisito o HU de origen y los IDs de los casos de TestLink que cubren cada riesgo.</t>
        </is>
      </c>
    </row>
    <row r="19" ht="31.5" customHeight="1" s="35">
      <c r="B19" s="39" t="inlineStr">
        <is>
          <t>7. Monitorear</t>
        </is>
      </c>
      <c r="C19" s="42" t="inlineStr">
        <is>
          <t>Actualicen Estado y Revisión en cada entrega. Las hojas «Matriz 3x3» y «Resumen» se actualizan solas.</t>
        </is>
      </c>
    </row>
    <row r="21" ht="17.25" customHeight="1" s="35">
      <c r="B21" s="41" t="inlineStr">
        <is>
          <t>Leyenda</t>
        </is>
      </c>
    </row>
    <row r="22" ht="15" customHeight="1" s="35">
      <c r="B22" s="43" t="inlineStr">
        <is>
          <t>Celda amarilla</t>
        </is>
      </c>
      <c r="C22" s="44" t="inlineStr">
        <is>
          <t>Para completar por el grupo.</t>
        </is>
      </c>
    </row>
    <row r="23" ht="15" customHeight="1" s="35">
      <c r="B23" s="45" t="inlineStr">
        <is>
          <t>Celda gris</t>
        </is>
      </c>
      <c r="C23" s="44" t="inlineStr">
        <is>
          <t>Fórmula: se calcula sola, no editar.</t>
        </is>
      </c>
    </row>
    <row r="24" ht="15" customHeight="1" s="35">
      <c r="B24" s="46" t="inlineStr">
        <is>
          <t>Alto (6–9)</t>
        </is>
      </c>
      <c r="C24" s="44" t="inlineStr">
        <is>
          <t>Clasificación por nivel de riesgo (convención del curso).</t>
        </is>
      </c>
    </row>
    <row r="25" ht="15" customHeight="1" s="35">
      <c r="B25" s="47" t="inlineStr">
        <is>
          <t>Medio (3–4)</t>
        </is>
      </c>
      <c r="C25" s="44" t="inlineStr">
        <is>
          <t>Clasificación por nivel de riesgo (convención del curso).</t>
        </is>
      </c>
    </row>
    <row r="26" ht="15" customHeight="1" s="35">
      <c r="B26" s="48" t="inlineStr">
        <is>
          <t>Bajo (1–2)</t>
        </is>
      </c>
      <c r="C26" s="44" t="inlineStr">
        <is>
          <t>Clasificación por nivel de riesgo (convención del curso).</t>
        </is>
      </c>
    </row>
    <row r="28" ht="15" customHeight="1" s="35">
      <c r="B28" s="49" t="inlineStr">
        <is>
          <t>Fuentes: ISTQB CTFL 5.5, ISTQB Agile Tester 3.2.1 y Crispin &amp; Gregory, Agile Testing, cap. 18. El curso usa una escala 1–3 por simplicidad.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10" customWidth="1" style="34" min="2" max="2"/>
    <col width="16" customWidth="1" style="34" min="3" max="3"/>
    <col width="90" customWidth="1" style="34" min="4" max="4"/>
  </cols>
  <sheetData>
    <row r="2" ht="21.75" customHeight="1" s="35">
      <c r="B2" s="50" t="inlineStr">
        <is>
          <t>Escalas de evaluación</t>
        </is>
      </c>
    </row>
    <row r="3" ht="15" customHeight="1" s="35">
      <c r="B3" s="38" t="inlineStr">
        <is>
          <t>Acuerden en el grupo qué significa cada valor antes de puntuar.</t>
        </is>
      </c>
    </row>
    <row r="5" ht="15.75" customHeight="1" s="35">
      <c r="B5" s="51" t="inlineStr">
        <is>
          <t>Probabilidad: ¿qué tan probable es que falle?</t>
        </is>
      </c>
    </row>
    <row r="6" ht="15" customHeight="1" s="35">
      <c r="B6" s="52" t="inlineStr">
        <is>
          <t>Valor</t>
        </is>
      </c>
      <c r="C6" s="52" t="inlineStr">
        <is>
          <t>Nivel</t>
        </is>
      </c>
      <c r="D6" s="52" t="inlineStr">
        <is>
          <t>Criterio</t>
        </is>
      </c>
    </row>
    <row r="7" ht="30" customHeight="1" s="35">
      <c r="B7" s="53" t="n">
        <v>1</v>
      </c>
      <c r="C7" s="53" t="inlineStr">
        <is>
          <t>Baja</t>
        </is>
      </c>
      <c r="D7" s="54" t="inlineStr">
        <is>
          <t>Regla simple, código estable, sin integraciones.</t>
        </is>
      </c>
    </row>
    <row r="8" ht="30" customHeight="1" s="35">
      <c r="B8" s="53" t="n">
        <v>2</v>
      </c>
      <c r="C8" s="53" t="inlineStr">
        <is>
          <t>Media</t>
        </is>
      </c>
      <c r="D8" s="54" t="inlineStr">
        <is>
          <t>Regla con varias condiciones o código cambiado recientemente.</t>
        </is>
      </c>
    </row>
    <row r="9" ht="30" customHeight="1" s="35">
      <c r="B9" s="53" t="n">
        <v>3</v>
      </c>
      <c r="C9" s="53" t="inlineStr">
        <is>
          <t>Alta</t>
        </is>
      </c>
      <c r="D9" s="54" t="inlineStr">
        <is>
          <t>Regla compleja, código nuevo, integraciones o mensajes asíncronos, tecnología nueva para el equipo.</t>
        </is>
      </c>
    </row>
    <row r="11" ht="15.75" customHeight="1" s="35">
      <c r="B11" s="51" t="inlineStr">
        <is>
          <t>Impacto: ¿cuánto daño hace si falla?</t>
        </is>
      </c>
    </row>
    <row r="12" ht="15" customHeight="1" s="35">
      <c r="B12" s="52" t="inlineStr">
        <is>
          <t>Valor</t>
        </is>
      </c>
      <c r="C12" s="52" t="inlineStr">
        <is>
          <t>Nivel</t>
        </is>
      </c>
      <c r="D12" s="52" t="inlineStr">
        <is>
          <t>Criterio</t>
        </is>
      </c>
    </row>
    <row r="13" ht="30" customHeight="1" s="35">
      <c r="B13" s="53" t="n">
        <v>1</v>
      </c>
      <c r="C13" s="53" t="inlineStr">
        <is>
          <t>Bajo</t>
        </is>
      </c>
      <c r="D13" s="54" t="inlineStr">
        <is>
          <t>Molestia menor con alternativa; no afecta dinero ni acceso al evento.</t>
        </is>
      </c>
    </row>
    <row r="14" ht="30" customHeight="1" s="35">
      <c r="B14" s="53" t="n">
        <v>2</v>
      </c>
      <c r="C14" s="53" t="inlineStr">
        <is>
          <t>Medio</t>
        </is>
      </c>
      <c r="D14" s="54" t="inlineStr">
        <is>
          <t>Afecta a un grupo de usuarios o una función importante con alternativa difícil.</t>
        </is>
      </c>
    </row>
    <row r="15" ht="30" customHeight="1" s="35">
      <c r="B15" s="53" t="n">
        <v>3</v>
      </c>
      <c r="C15" s="53" t="inlineStr">
        <is>
          <t>Alto</t>
        </is>
      </c>
      <c r="D15" s="54" t="inlineStr">
        <is>
          <t>Dinero mal cobrado, asistentes sin poder entrar, datos personales expuestos o reputación del evento.</t>
        </is>
      </c>
    </row>
    <row r="17" ht="15.75" customHeight="1" s="35">
      <c r="B17" s="51" t="inlineStr">
        <is>
          <t>Nivel = Probabilidad × Impacto</t>
        </is>
      </c>
    </row>
    <row r="18" ht="15" customHeight="1" s="35">
      <c r="B18" s="52" t="inlineStr">
        <is>
          <t>Rango</t>
        </is>
      </c>
      <c r="C18" s="52" t="inlineStr">
        <is>
          <t>Clasificación</t>
        </is>
      </c>
      <c r="D18" s="52" t="inlineStr">
        <is>
          <t>Qué implica (profundidad de prueba)</t>
        </is>
      </c>
    </row>
    <row r="19" ht="31.5" customHeight="1" s="35">
      <c r="B19" s="53" t="inlineStr">
        <is>
          <t>6 a 9</t>
        </is>
      </c>
      <c r="C19" s="55" t="inlineStr">
        <is>
          <t>Alto</t>
        </is>
      </c>
      <c r="D19" s="54" t="inlineStr">
        <is>
          <t>Primero y a fondo: varias técnicas, positivos y negativos, retest obligatorio, también en E2E. Importancia Alta en TestLink.</t>
        </is>
      </c>
    </row>
    <row r="20" ht="31.5" customHeight="1" s="35">
      <c r="B20" s="53" t="inlineStr">
        <is>
          <t>3 a 4</t>
        </is>
      </c>
      <c r="C20" s="56" t="inlineStr">
        <is>
          <t>Medio</t>
        </is>
      </c>
      <c r="D20" s="54" t="inlineStr">
        <is>
          <t>Técnica principal y valores límite; se ejecuta después de los altos. Importancia Media.</t>
        </is>
      </c>
    </row>
    <row r="21" ht="31.5" customHeight="1" s="35">
      <c r="B21" s="53" t="inlineStr">
        <is>
          <t>1 a 2</t>
        </is>
      </c>
      <c r="C21" s="57" t="inlineStr">
        <is>
          <t>Bajo</t>
        </is>
      </c>
      <c r="D21" s="54" t="inlineStr">
        <is>
          <t>Pocos casos o smoke; se puede aceptar y documentar. Importancia Baja.</t>
        </is>
      </c>
    </row>
    <row r="23" ht="15.75" customHeight="1" s="35">
      <c r="B23" s="51" t="inlineStr">
        <is>
          <t>Respuesta al riesgo</t>
        </is>
      </c>
    </row>
    <row r="24" ht="15" customHeight="1" s="35">
      <c r="B24" s="52" t="inlineStr">
        <is>
          <t>Respuesta</t>
        </is>
      </c>
      <c r="C24" s="52" t="n"/>
      <c r="D24" s="52" t="inlineStr">
        <is>
          <t>Cuándo usarla</t>
        </is>
      </c>
    </row>
    <row r="25" ht="30" customHeight="1" s="35">
      <c r="B25" s="53" t="inlineStr">
        <is>
          <t>Mitigar con pruebas</t>
        </is>
      </c>
      <c r="C25" s="53" t="n"/>
      <c r="D25" s="54" t="inlineStr">
        <is>
          <t>Casos que detecten la falla y reduzcan su probabilidad o su impacto. Respuesta esperada para riesgos de producto alto y medio.</t>
        </is>
      </c>
    </row>
    <row r="26" ht="30" customHeight="1" s="35">
      <c r="B26" s="53" t="inlineStr">
        <is>
          <t>Aceptar</t>
        </is>
      </c>
      <c r="C26" s="53" t="n"/>
      <c r="D26" s="54" t="inlineStr">
        <is>
          <t>Riesgo bajo: se documenta y se prueba lo mínimo.</t>
        </is>
      </c>
    </row>
    <row r="27" ht="30" customHeight="1" s="35">
      <c r="B27" s="53" t="inlineStr">
        <is>
          <t>Transferir</t>
        </is>
      </c>
      <c r="C27" s="53" t="n"/>
      <c r="D27" s="54" t="inlineStr">
        <is>
          <t>Otro lo asume o lo comparte (otro grupo QA, equipo plataforma, otra entrega). Indiquen quién.</t>
        </is>
      </c>
    </row>
    <row r="28" ht="30" customHeight="1" s="35">
      <c r="B28" s="53" t="inlineStr">
        <is>
          <t>Plan de contingencia</t>
        </is>
      </c>
      <c r="C28" s="53" t="n"/>
      <c r="D28" s="54" t="inlineStr">
        <is>
          <t>Qué hará el grupo si el riesgo ocurre. Habitual en riesgos de proyecto.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A1:Q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4" min="1" max="1"/>
    <col width="11" customWidth="1" style="34" min="2" max="2"/>
    <col width="40" customWidth="1" style="34" min="3" max="3"/>
    <col width="30" customWidth="1" style="34" min="4" max="4"/>
    <col width="44" customWidth="1" style="34" min="5" max="5"/>
    <col width="9" customWidth="1" style="34" min="6" max="8"/>
    <col width="12" customWidth="1" style="34" min="9" max="9"/>
    <col width="20" customWidth="1" style="34" min="10" max="10"/>
    <col width="48" customWidth="1" style="34" min="11" max="11"/>
    <col width="10" customWidth="1" style="34" min="12" max="12"/>
    <col width="24" customWidth="1" style="34" min="13" max="13"/>
    <col width="12" customWidth="1" style="34" min="14" max="14"/>
    <col width="16" customWidth="1" style="34" min="15" max="15"/>
    <col width="14" customWidth="1" style="34" min="16" max="17"/>
  </cols>
  <sheetData>
    <row r="1" ht="19.5" customHeight="1" s="35">
      <c r="A1" s="58" t="inlineStr">
        <is>
          <t>Registro de riesgos · Panel Organizador · Grupo 7</t>
        </is>
      </c>
    </row>
    <row r="2" ht="15" customHeight="1" s="35">
      <c r="A2" s="59" t="inlineStr">
        <is>
          <t>Amarillo: completar · Gris: fórmula (no editar) · Escala 1–3 (hoja «Escalas»)</t>
        </is>
      </c>
    </row>
    <row r="3"/>
    <row r="4" ht="33.75" customHeight="1" s="35">
      <c r="A4" s="52" t="inlineStr">
        <is>
          <t>ID</t>
        </is>
      </c>
      <c r="B4" s="52" t="inlineStr">
        <is>
          <t>Tipo</t>
        </is>
      </c>
      <c r="C4" s="52" t="inlineStr">
        <is>
          <t>Riesgo (qué podría fallar)</t>
        </is>
      </c>
      <c r="D4" s="52" t="inlineStr">
        <is>
          <t>Requisito / HU</t>
        </is>
      </c>
      <c r="E4" s="52" t="inlineStr">
        <is>
          <t>Causa o condición</t>
        </is>
      </c>
      <c r="F4" s="52" t="inlineStr">
        <is>
          <t>Prob. (1-3)</t>
        </is>
      </c>
      <c r="G4" s="52" t="inlineStr">
        <is>
          <t>Impacto (1-3)</t>
        </is>
      </c>
      <c r="H4" s="52" t="inlineStr">
        <is>
          <t>Nivel P×I</t>
        </is>
      </c>
      <c r="I4" s="52" t="inlineStr">
        <is>
          <t>Clasificación</t>
        </is>
      </c>
      <c r="J4" s="52" t="inlineStr">
        <is>
          <t>Respuesta</t>
        </is>
      </c>
      <c r="K4" s="52" t="inlineStr">
        <is>
          <t>Técnica o acción</t>
        </is>
      </c>
      <c r="L4" s="52" t="inlineStr">
        <is>
          <t>Orden de ejecución</t>
        </is>
      </c>
      <c r="M4" s="52" t="inlineStr">
        <is>
          <t>Casos TestLink</t>
        </is>
      </c>
      <c r="N4" s="52" t="inlineStr">
        <is>
          <t>Importancia TestLink</t>
        </is>
      </c>
      <c r="O4" s="52" t="inlineStr">
        <is>
          <t>Responsable</t>
        </is>
      </c>
      <c r="P4" s="52" t="inlineStr">
        <is>
          <t>Estado</t>
        </is>
      </c>
      <c r="Q4" s="52" t="inlineStr">
        <is>
          <t>Revisión (entrega)</t>
        </is>
      </c>
    </row>
    <row r="5" ht="87" customHeight="1" s="35">
      <c r="A5" s="60" t="inlineStr">
        <is>
          <t>R1</t>
        </is>
      </c>
      <c r="B5" s="61" t="inlineStr">
        <is>
          <t>Producto</t>
        </is>
      </c>
      <c r="C5" s="62" t="inlineStr">
        <is>
          <t>Una sesión ausente, inválida, expirada o de rol no autorizado accede al panel, o el panel ejecuta operaciones cuando Auth no responde (falla del fail-secure).</t>
        </is>
      </c>
      <c r="D5" s="62" t="inlineStr">
        <is>
          <t>HU-06 · Política de autorización (plan-proyecto §4.3) · Contrato Auth v1.1</t>
        </is>
      </c>
      <c r="E5" s="62" t="inlineStr">
        <is>
          <t>Integración síncrona con Auth (timeout 1 s y 1 reintento); el JWT no se decodifica localmente; cuatro roles de prueba; el mock de Auth difiere del servicio real.</t>
        </is>
      </c>
      <c r="F5" s="61" t="n">
        <v>3</v>
      </c>
      <c r="G5" s="61" t="n">
        <v>3</v>
      </c>
      <c r="H5" s="63">
        <f>IF(OR(F5="",G5=""),"",F5*G5)</f>
        <v/>
      </c>
      <c r="I5" s="63">
        <f>IF(H5="","",IF(H5&gt;=6,"Alto",IF(H5&gt;=3,"Medio","Bajo")))</f>
        <v/>
      </c>
      <c r="J5" s="62" t="inlineStr">
        <is>
          <t>Mitigar con pruebas</t>
        </is>
      </c>
      <c r="K5" s="62" t="inlineStr">
        <is>
          <t>Tabla de decisión sesión/rol × endpoint (AUT-01, 02); caso negativo de fail-secure con Auth lento (AUT-04); exploratorio de sesión en la UI (AUT-06); análisis estático (CON-07); retest obligatorio. Quedan postergados AUT-03, AUT-05 y E2E-03, cubiertos por AUT-04 y los E2E.</t>
        </is>
      </c>
      <c r="L5" s="61" t="inlineStr">
        <is>
          <t>1</t>
        </is>
      </c>
      <c r="M5" s="62" t="inlineStr">
        <is>
          <t>PO-AUT-01 a 06; PO-EXP-04; PO-CON-07; PO-E2E-03</t>
        </is>
      </c>
      <c r="N5" s="63">
        <f>IF(I5="","",IF(I5="Alto","Alta",IF(I5="Medio","Media","Baja")))</f>
        <v/>
      </c>
      <c r="O5" s="62" t="inlineStr">
        <is>
          <t>Alonso Vera</t>
        </is>
      </c>
      <c r="P5" s="61" t="inlineStr">
        <is>
          <t>Abierto</t>
        </is>
      </c>
      <c r="Q5" s="61" t="inlineStr">
        <is>
          <t>Entrega 1</t>
        </is>
      </c>
    </row>
    <row r="6" ht="72" customHeight="1" s="35">
      <c r="A6" s="60" t="inlineStr">
        <is>
          <t>R2</t>
        </is>
      </c>
      <c r="B6" s="61" t="inlineStr">
        <is>
          <t>Producto</t>
        </is>
      </c>
      <c r="C6" s="62" t="inlineStr">
        <is>
          <t>Un organizador lee, publica o consulta eventos de otro organizador (falla de validación de propiedad), o impone dueño o estado desde el body.</t>
        </is>
      </c>
      <c r="D6" s="62" t="inlineStr">
        <is>
          <t>HU-06 (propiedad) · HU-04 · HU-05</t>
        </is>
      </c>
      <c r="E6" s="62" t="inlineStr">
        <is>
          <t>La propiedad se valida en el servicio, evento por evento, y no en un middleware; el GET compartido de Entradas/Check-in admite staff y organizador sin validar propiedad.</t>
        </is>
      </c>
      <c r="F6" s="61" t="n">
        <v>2</v>
      </c>
      <c r="G6" s="61" t="n">
        <v>3</v>
      </c>
      <c r="H6" s="63">
        <f>IF(OR(F6="",G6=""),"",F6*G6)</f>
        <v/>
      </c>
      <c r="I6" s="63">
        <f>IF(H6="","",IF(H6&gt;=6,"Alto",IF(H6&gt;=3,"Medio","Bajo")))</f>
        <v/>
      </c>
      <c r="J6" s="62" t="inlineStr">
        <is>
          <t>Mitigar con pruebas</t>
        </is>
      </c>
      <c r="K6" s="62" t="inlineStr">
        <is>
          <t>Tabla de decisión propiedad × endpoint con eventos de Org A y Org B (PRO-01); ids inexistentes y mal formados (PRO-02); body con id_organizador o estado (PRO-03); consulta a TITEC sobre el GET compartido (PRO-04).</t>
        </is>
      </c>
      <c r="L6" s="61" t="inlineStr">
        <is>
          <t>2</t>
        </is>
      </c>
      <c r="M6" s="62" t="inlineStr">
        <is>
          <t>PO-PRO-01 a 05; PO-E2E-03; PO-ED-02; PO-DEL-01, 02</t>
        </is>
      </c>
      <c r="N6" s="63">
        <f>IF(I6="","",IF(I6="Alto","Alta",IF(I6="Medio","Media","Baja")))</f>
        <v/>
      </c>
      <c r="O6" s="62" t="inlineStr">
        <is>
          <t>Alonso Vera</t>
        </is>
      </c>
      <c r="P6" s="61" t="inlineStr">
        <is>
          <t>Abierto</t>
        </is>
      </c>
      <c r="Q6" s="61" t="inlineStr">
        <is>
          <t>Entrega 1</t>
        </is>
      </c>
    </row>
    <row r="7" ht="57.75" customHeight="1" s="35">
      <c r="A7" s="60" t="inlineStr">
        <is>
          <t>R3</t>
        </is>
      </c>
      <c r="B7" s="61" t="inlineStr">
        <is>
          <t>Producto</t>
        </is>
      </c>
      <c r="C7" s="62" t="inlineStr">
        <is>
          <t>Se publica un evento en estado no permitido o incompleto, o dos publicaciones simultáneas generan estados o historial duplicados.</t>
        </is>
      </c>
      <c r="D7" s="62" t="inlineStr">
        <is>
          <t>HU-04 · Contrato Check-in v1.2 §3.2 (hora_fin_evento)</t>
        </is>
      </c>
      <c r="E7" s="62" t="inlineStr">
        <is>
          <t>Transición Borrador→Publicado con precondiciones (hora_fin_evento obligatoria); atomicidad por condición de estado; MongoDB sin transacciones.</t>
        </is>
      </c>
      <c r="F7" s="61" t="n">
        <v>2</v>
      </c>
      <c r="G7" s="61" t="n">
        <v>3</v>
      </c>
      <c r="H7" s="63">
        <f>IF(OR(F7="",G7=""),"",F7*G7)</f>
        <v/>
      </c>
      <c r="I7" s="63">
        <f>IF(H7="","",IF(H7&gt;=6,"Alto",IF(H7&gt;=3,"Medio","Bajo")))</f>
        <v/>
      </c>
      <c r="J7" s="62" t="inlineStr">
        <is>
          <t>Mitigar con pruebas</t>
        </is>
      </c>
      <c r="K7" s="62" t="inlineStr">
        <is>
          <t>Transición de estados (PUB-01, 02); tabla de decisión de precondiciones (PUB-03); concurrencia de 2 y 10 solicitudes (PUB-04); el exploratorio de la UI (PUB-05) queda postergado y lo cubre AUT-06. Publicar un Borrador cuya fecha ya pasó (FEC-06), hallazgo de la revisión estática de HU-04.</t>
        </is>
      </c>
      <c r="L7" s="61" t="inlineStr">
        <is>
          <t>3</t>
        </is>
      </c>
      <c r="M7" s="62" t="inlineStr">
        <is>
          <t>PO-PUB-01 a 05; PO-CON-06; PO-E2E-01 a 03; PO-FEC-06</t>
        </is>
      </c>
      <c r="N7" s="63">
        <f>IF(I7="","",IF(I7="Alto","Alta",IF(I7="Medio","Media","Baja")))</f>
        <v/>
      </c>
      <c r="O7" s="62" t="inlineStr">
        <is>
          <t>Alonso Vera</t>
        </is>
      </c>
      <c r="P7" s="61" t="inlineStr">
        <is>
          <t>Abierto</t>
        </is>
      </c>
      <c r="Q7" s="61" t="inlineStr">
        <is>
          <t>Entrega 1</t>
        </is>
      </c>
    </row>
    <row r="8" ht="72" customHeight="1" s="35">
      <c r="A8" s="60" t="inlineStr">
        <is>
          <t>R4</t>
        </is>
      </c>
      <c r="B8" s="61" t="inlineStr">
        <is>
          <t>Producto</t>
        </is>
      </c>
      <c r="C8" s="62" t="inlineStr">
        <is>
          <t>Un evento no publicado (Borrador, Finalizado, Cancelado) o su historial queda visible para Catálogo, Promociones o cualquier cliente sin sesión.</t>
        </is>
      </c>
      <c r="D8" s="62" t="inlineStr">
        <is>
          <t>HU-04 · Regla «un Borrador no es visible en Catálogo» · Contratos Catálogo, Check-in, Notificaciones y Promociones</t>
        </is>
      </c>
      <c r="E8" s="62" t="inlineStr">
        <is>
          <t>Cada endpoint de consumidor aplica su propio filtro de estado; GET cambios-estado no filtra por estado y los endpoints de integración no exigen sesión (control delegado al API Gateway, mecanismo pendiente).</t>
        </is>
      </c>
      <c r="F8" s="61" t="n">
        <v>3</v>
      </c>
      <c r="G8" s="61" t="n">
        <v>2</v>
      </c>
      <c r="H8" s="63">
        <f>IF(OR(F8="",G8=""),"",F8*G8)</f>
        <v/>
      </c>
      <c r="I8" s="63">
        <f>IF(H8="","",IF(H8&gt;=6,"Alto",IF(H8&gt;=3,"Medio","Bajo")))</f>
        <v/>
      </c>
      <c r="J8" s="62" t="inlineStr">
        <is>
          <t>Mitigar con pruebas</t>
        </is>
      </c>
      <c r="K8" s="62" t="inlineStr">
        <is>
          <t>Tabla de decisión estado × endpoint de consumidor (EXP-01, 02); historial de un Borrador (EXP-03); acceso directo sin Gateway (EXP-04); regresión en cada build.</t>
        </is>
      </c>
      <c r="L8" s="61" t="inlineStr">
        <is>
          <t>4</t>
        </is>
      </c>
      <c r="M8" s="62" t="inlineStr">
        <is>
          <t>PO-EXP-01 a 04; PO-FEC-05; PO-E2E-01, 02</t>
        </is>
      </c>
      <c r="N8" s="63">
        <f>IF(I8="","",IF(I8="Alto","Alta",IF(I8="Medio","Media","Baja")))</f>
        <v/>
      </c>
      <c r="O8" s="62" t="inlineStr">
        <is>
          <t>Christopher Okinggton</t>
        </is>
      </c>
      <c r="P8" s="61" t="inlineStr">
        <is>
          <t>Abierto</t>
        </is>
      </c>
      <c r="Q8" s="61" t="inlineStr">
        <is>
          <t>Entrega 1</t>
        </is>
      </c>
    </row>
    <row r="9" ht="72" customHeight="1" s="35">
      <c r="A9" s="60" t="inlineStr">
        <is>
          <t>R5</t>
        </is>
      </c>
      <c r="B9" s="61" t="inlineStr">
        <is>
          <t>Producto</t>
        </is>
      </c>
      <c r="C9" s="62" t="inlineStr">
        <is>
          <t>Se crea un evento con datos inválidos o inconsistentes (longitudes, rangos, tipo de entrada y precio, formatos), o la API responde 500 en vez de un error de validación.</t>
        </is>
      </c>
      <c r="D9" s="62" t="inlineStr">
        <is>
          <t>HU-01 · OpenAPI EventoCreate</t>
        </is>
      </c>
      <c r="E9" s="62" t="inlineStr">
        <is>
          <t>Validaciones con reglas cruzadas (tipo_entrada × precio, fecha, hora_fin); campos opcionales que aceptan null; payloads fuera de rango o muy grandes.</t>
        </is>
      </c>
      <c r="F9" s="61" t="n">
        <v>2</v>
      </c>
      <c r="G9" s="61" t="n">
        <v>2</v>
      </c>
      <c r="H9" s="63">
        <f>IF(OR(F9="",G9=""),"",F9*G9)</f>
        <v/>
      </c>
      <c r="I9" s="63">
        <f>IF(H9="","",IF(H9&gt;=6,"Alto",IF(H9&gt;=3,"Medio","Bajo")))</f>
        <v/>
      </c>
      <c r="J9" s="62" t="inlineStr">
        <is>
          <t>Mitigar con pruebas</t>
        </is>
      </c>
      <c r="K9" s="62" t="inlineStr">
        <is>
          <t>Partición de equivalencia y valores límite por campo (VAL-02, 03, 06); tabla de decisión tipo × precio (VAL-08); formatos y robustez (VAL-09, 10). Postergados VAL-01, 04, 05, 07 y 11, cubiertos por los anteriores y los E2E.</t>
        </is>
      </c>
      <c r="L9" s="61" t="inlineStr">
        <is>
          <t>5</t>
        </is>
      </c>
      <c r="M9" s="62" t="inlineStr">
        <is>
          <t>PO-VAL-01 a 11; PO-UI-01; PO-E2E-01, 02; PO-ED-01; PO-ED-03</t>
        </is>
      </c>
      <c r="N9" s="63">
        <f>IF(I9="","",IF(I9="Alto","Alta",IF(I9="Medio","Media","Baja")))</f>
        <v/>
      </c>
      <c r="O9" s="62" t="inlineStr">
        <is>
          <t>Alonso Vera</t>
        </is>
      </c>
      <c r="P9" s="61" t="inlineStr">
        <is>
          <t>Abierto</t>
        </is>
      </c>
      <c r="Q9" s="61" t="inlineStr">
        <is>
          <t>Entrega 1</t>
        </is>
      </c>
    </row>
    <row r="10" ht="57.75" customHeight="1" s="35">
      <c r="A10" s="60" t="inlineStr">
        <is>
          <t>R6</t>
        </is>
      </c>
      <c r="B10" s="61" t="inlineStr">
        <is>
          <t>Producto</t>
        </is>
      </c>
      <c r="C10" s="62" t="inlineStr">
        <is>
          <t>Errores de fecha y hora: se acepta o rechaza mal una fecha por el cambio de día en America/Santiago, o un evento que termina después de medianoche se interpreta mal.</t>
        </is>
      </c>
      <c r="D10" s="62" t="inlineStr">
        <is>
          <t>HU-01 · Contrato Check-in v1.2 §3.2</t>
        </is>
      </c>
      <c r="E10" s="62" t="inlineStr">
        <is>
          <t>La fecha «hoy» se calcula en America/Santiago y se guarda como medianoche UTC; hora_fin ≤ hora_inicio significa día siguiente; el servidor puede correr en otra zona horaria.</t>
        </is>
      </c>
      <c r="F10" s="61" t="n">
        <v>2</v>
      </c>
      <c r="G10" s="61" t="n">
        <v>2</v>
      </c>
      <c r="H10" s="63">
        <f>IF(OR(F10="",G10=""),"",F10*G10)</f>
        <v/>
      </c>
      <c r="I10" s="63">
        <f>IF(H10="","",IF(H10&gt;=6,"Alto",IF(H10&gt;=3,"Medio","Bajo")))</f>
        <v/>
      </c>
      <c r="J10" s="62" t="inlineStr">
        <is>
          <t>Mitigar con pruebas</t>
        </is>
      </c>
      <c r="K10" s="62" t="inlineStr">
        <is>
          <t>Valores límite ayer/hoy/mañana (FEC-01) y Catálogo por fecha (FEC-05). Postergados FEC-02 a 04, cubiertos por FEC-01, PUB-03 y VAL-09. Se suma FEC-06: la fecha se vuelve a evaluar al publicar.</t>
        </is>
      </c>
      <c r="L10" s="61" t="inlineStr">
        <is>
          <t>6</t>
        </is>
      </c>
      <c r="M10" s="62" t="inlineStr">
        <is>
          <t>PO-FEC-01 a 06</t>
        </is>
      </c>
      <c r="N10" s="63">
        <f>IF(I10="","",IF(I10="Alto","Alta",IF(I10="Medio","Media","Baja")))</f>
        <v/>
      </c>
      <c r="O10" s="62" t="inlineStr">
        <is>
          <t>Alonso Vera</t>
        </is>
      </c>
      <c r="P10" s="61" t="inlineStr">
        <is>
          <t>Abierto</t>
        </is>
      </c>
      <c r="Q10" s="61" t="inlineStr">
        <is>
          <t>Entrega 1</t>
        </is>
      </c>
    </row>
    <row r="11" ht="87" customHeight="1" s="35">
      <c r="A11" s="60" t="inlineStr">
        <is>
          <t>R7</t>
        </is>
      </c>
      <c r="B11" s="61" t="inlineStr">
        <is>
          <t>Producto</t>
        </is>
      </c>
      <c r="C11" s="62" t="inlineStr">
        <is>
          <t>La API se aparta del contrato OpenAPI o de los contratos con otros equipos (campos, tipos, códigos y formato de error) y los consumidores fallan al integrar.</t>
        </is>
      </c>
      <c r="D11" s="62" t="inlineStr">
        <is>
          <t>OpenAPI 1.0.0-sprint1 · Contratos Catálogo, Entradas, Check-in, Notificaciones y Promociones</t>
        </is>
      </c>
      <c r="E11" s="62" t="inlineStr">
        <is>
          <t>Contratos en versiones distintas entre repos (ADR-0012); formato de error propio pendiente de confirmar (ADR-0011); códigos de error de Check-in distintos a los implementados; PATCH y DELETE documentados pero sin implementar.</t>
        </is>
      </c>
      <c r="F11" s="61" t="n">
        <v>2</v>
      </c>
      <c r="G11" s="61" t="n">
        <v>2</v>
      </c>
      <c r="H11" s="63">
        <f>IF(OR(F11="",G11=""),"",F11*G11)</f>
        <v/>
      </c>
      <c r="I11" s="63">
        <f>IF(H11="","",IF(H11&gt;=6,"Alto",IF(H11&gt;=3,"Medio","Bajo")))</f>
        <v/>
      </c>
      <c r="J11" s="62" t="inlineStr">
        <is>
          <t>Mitigar con pruebas</t>
        </is>
      </c>
      <c r="K11" s="62" t="inlineStr">
        <is>
          <t>Revisión estática del OpenAPI contra los contratos (CON-01); estructura para Catálogo y campos de Check-in y Entradas (CON-03, 04); conformidad de errores (CON-05); regresión con la colección del equipo, que ya valida los esquemas (CON-06). CON-02 queda postergado.</t>
        </is>
      </c>
      <c r="L11" s="61" t="inlineStr">
        <is>
          <t>7</t>
        </is>
      </c>
      <c r="M11" s="62" t="inlineStr">
        <is>
          <t>PO-PRO-04; PO-CON-01 a 06; PO-E2E-02</t>
        </is>
      </c>
      <c r="N11" s="63">
        <f>IF(I11="","",IF(I11="Alto","Alta",IF(I11="Medio","Media","Baja")))</f>
        <v/>
      </c>
      <c r="O11" s="62" t="inlineStr">
        <is>
          <t>Christopher Okinggton</t>
        </is>
      </c>
      <c r="P11" s="61" t="inlineStr">
        <is>
          <t>Abierto</t>
        </is>
      </c>
      <c r="Q11" s="61" t="inlineStr">
        <is>
          <t>Entrega 1</t>
        </is>
      </c>
    </row>
    <row r="12" ht="57.75" customHeight="1" s="35">
      <c r="A12" s="60" t="inlineStr">
        <is>
          <t>R8</t>
        </is>
      </c>
      <c r="B12" s="61" t="inlineStr">
        <is>
          <t>Producto</t>
        </is>
      </c>
      <c r="C12" s="62" t="inlineStr">
        <is>
          <t>El historial de cambios de estado queda incompleto, desordenado o con registros huérfanos, y Notificaciones recibe datos incorrectos.</t>
        </is>
      </c>
      <c r="D12" s="62" t="inlineStr">
        <is>
          <t>HU-04 · HU-07 · Contrato Notificaciones v1.2</t>
        </is>
      </c>
      <c r="E12" s="62" t="inlineStr">
        <is>
          <t>Al crear se insertan evento e historial en dos operaciones con compensación manual (sin transacciones); ramas de compensación sin cobertura en el reporte del equipo.</t>
        </is>
      </c>
      <c r="F12" s="61" t="n">
        <v>2</v>
      </c>
      <c r="G12" s="61" t="n">
        <v>2</v>
      </c>
      <c r="H12" s="63">
        <f>IF(OR(F12="",G12=""),"",F12*G12)</f>
        <v/>
      </c>
      <c r="I12" s="63">
        <f>IF(H12="","",IF(H12&gt;=6,"Alto",IF(H12&gt;=3,"Medio","Bajo")))</f>
        <v/>
      </c>
      <c r="J12" s="62" t="inlineStr">
        <is>
          <t>Mitigar con pruebas</t>
        </is>
      </c>
      <c r="K12" s="62" t="inlineStr">
        <is>
          <t>Secuencia y orden del historial con verificación en BD con Compass (HIS-02), más la transición base de PUB-01; caja blanca de la rama de compensación (HIS-04, Entrega 2). Postergados HIS-01 y HIS-03.</t>
        </is>
      </c>
      <c r="L12" s="61" t="inlineStr">
        <is>
          <t>8</t>
        </is>
      </c>
      <c r="M12" s="62" t="inlineStr">
        <is>
          <t>PO-PUB-01; PO-EXP-03; PO-HIS-01 a 04; PO-E2E-01; PO-NOT-01</t>
        </is>
      </c>
      <c r="N12" s="63">
        <f>IF(I12="","",IF(I12="Alto","Alta",IF(I12="Medio","Media","Baja")))</f>
        <v/>
      </c>
      <c r="O12" s="62" t="inlineStr">
        <is>
          <t>Christopher Okinggton</t>
        </is>
      </c>
      <c r="P12" s="61" t="inlineStr">
        <is>
          <t>Abierto</t>
        </is>
      </c>
      <c r="Q12" s="61" t="inlineStr">
        <is>
          <t>Entrega 1</t>
        </is>
      </c>
    </row>
    <row r="13" ht="57.75" customHeight="1" s="35">
      <c r="A13" s="60" t="inlineStr">
        <is>
          <t>R9</t>
        </is>
      </c>
      <c r="B13" s="61" t="inlineStr">
        <is>
          <t>Producto</t>
        </is>
      </c>
      <c r="C13" s="62" t="inlineStr">
        <is>
          <t>El listado y la búsqueda se degradan con volumen o concurrencia (no hay paginación) y el servicio no cumple tiempos aceptables.</t>
        </is>
      </c>
      <c r="D13" s="62" t="inlineStr">
        <is>
          <t>No funcional (TITEC no definió requisitos de rendimiento)</t>
        </is>
      </c>
      <c r="E13" s="62" t="inlineStr">
        <is>
          <t>Respuestas completas sin paginación; búsqueda por expresión regular sobre texto; Locust aún no instalado; no hay umbrales acordados.</t>
        </is>
      </c>
      <c r="F13" s="61" t="n">
        <v>2</v>
      </c>
      <c r="G13" s="61" t="n">
        <v>2</v>
      </c>
      <c r="H13" s="63">
        <f>IF(OR(F13="",G13=""),"",F13*G13)</f>
        <v/>
      </c>
      <c r="I13" s="63">
        <f>IF(H13="","",IF(H13&gt;=6,"Alto",IF(H13&gt;=3,"Medio","Bajo")))</f>
        <v/>
      </c>
      <c r="J13" s="62" t="inlineStr">
        <is>
          <t>Mitigar con pruebas</t>
        </is>
      </c>
      <c r="K13" s="62" t="inlineStr">
        <is>
          <t>Pruebas de carga, volumen y estrés con Locust (REN-01 a 03) en la Entrega 3; en la Entrega 1 sólo la concurrencia de publicar (PUB-04).</t>
        </is>
      </c>
      <c r="L13" s="61" t="inlineStr">
        <is>
          <t>9 (Entrega 3)</t>
        </is>
      </c>
      <c r="M13" s="62" t="inlineStr">
        <is>
          <t>PO-PUB-04; PO-REN-01 a 03</t>
        </is>
      </c>
      <c r="N13" s="63">
        <f>IF(I13="","",IF(I13="Alto","Alta",IF(I13="Medio","Media","Baja")))</f>
        <v/>
      </c>
      <c r="O13" s="62" t="inlineStr">
        <is>
          <t>Christopher Okinggton</t>
        </is>
      </c>
      <c r="P13" s="61" t="inlineStr">
        <is>
          <t>Abierto</t>
        </is>
      </c>
      <c r="Q13" s="61" t="inlineStr">
        <is>
          <t>Entrega 1</t>
        </is>
      </c>
    </row>
    <row r="14" ht="43.5" customHeight="1" s="35">
      <c r="A14" s="60" t="inlineStr">
        <is>
          <t>R10</t>
        </is>
      </c>
      <c r="B14" s="61" t="inlineStr">
        <is>
          <t>Producto</t>
        </is>
      </c>
      <c r="C14" s="62" t="inlineStr">
        <is>
          <t>La búsqueda del Catálogo falla o es manipulable con texto especial (expresiones regulares, operadores de BD, acentos).</t>
        </is>
      </c>
      <c r="D14" s="62" t="inlineStr">
        <is>
          <t>Contrato Catálogo v1.1 §2.2 (buscar)</t>
        </is>
      </c>
      <c r="E14" s="62" t="inlineStr">
        <is>
          <t>El texto del usuario se usa en una expresión regular (escapada en el código); el esquema ignora campos extra en lugar de rechazarlos.</t>
        </is>
      </c>
      <c r="F14" s="61" t="n">
        <v>1</v>
      </c>
      <c r="G14" s="61" t="n">
        <v>2</v>
      </c>
      <c r="H14" s="63">
        <f>IF(OR(F14="",G14=""),"",F14*G14)</f>
        <v/>
      </c>
      <c r="I14" s="63">
        <f>IF(H14="","",IF(H14&gt;=6,"Alto",IF(H14&gt;=3,"Medio","Bajo")))</f>
        <v/>
      </c>
      <c r="J14" s="62" t="inlineStr">
        <is>
          <t>Aceptar</t>
        </is>
      </c>
      <c r="K14" s="62" t="inlineStr">
        <is>
          <t>Un caso representativo de metacaracteres y texto (BUS-01); BUS-02 a 04 postergados; smoke en cada build.</t>
        </is>
      </c>
      <c r="L14" s="61" t="inlineStr">
        <is>
          <t>11</t>
        </is>
      </c>
      <c r="M14" s="62" t="inlineStr">
        <is>
          <t>PO-BUS-01 a 04</t>
        </is>
      </c>
      <c r="N14" s="63">
        <f>IF(I14="","",IF(I14="Alto","Alta",IF(I14="Medio","Media","Baja")))</f>
        <v/>
      </c>
      <c r="O14" s="62" t="inlineStr">
        <is>
          <t>Alonso Vera</t>
        </is>
      </c>
      <c r="P14" s="61" t="inlineStr">
        <is>
          <t>Abierto</t>
        </is>
      </c>
      <c r="Q14" s="61" t="inlineStr">
        <is>
          <t>Entrega 1</t>
        </is>
      </c>
    </row>
    <row r="15" ht="43.5" customHeight="1" s="35">
      <c r="A15" s="60" t="inlineStr">
        <is>
          <t>R11</t>
        </is>
      </c>
      <c r="B15" s="61" t="inlineStr">
        <is>
          <t>Producto</t>
        </is>
      </c>
      <c r="C15" s="62" t="inlineStr">
        <is>
          <t>Mis eventos y el detalle muestran datos incompletos o mal ordenados, o fallan con filtros e ids inválidos.</t>
        </is>
      </c>
      <c r="D15" s="62" t="inlineStr">
        <is>
          <t>HU-05</t>
        </is>
      </c>
      <c r="E15" s="62" t="inlineStr">
        <is>
          <t>Consulta simple por organizador con índice y filtro de estado; código estable y cubierto por tests del equipo.</t>
        </is>
      </c>
      <c r="F15" s="61" t="n">
        <v>1</v>
      </c>
      <c r="G15" s="61" t="n">
        <v>2</v>
      </c>
      <c r="H15" s="63">
        <f>IF(OR(F15="",G15=""),"",F15*G15)</f>
        <v/>
      </c>
      <c r="I15" s="63">
        <f>IF(H15="","",IF(H15&gt;=6,"Alto",IF(H15&gt;=3,"Medio","Bajo")))</f>
        <v/>
      </c>
      <c r="J15" s="62" t="inlineStr">
        <is>
          <t>Aceptar</t>
        </is>
      </c>
      <c r="K15" s="62" t="inlineStr">
        <is>
          <t>Un caso de listado propio ordenado (LIS-01) y smoke en cada build; LIS-02 a 04 postergados.</t>
        </is>
      </c>
      <c r="L15" s="61" t="inlineStr">
        <is>
          <t>10</t>
        </is>
      </c>
      <c r="M15" s="62" t="inlineStr">
        <is>
          <t>PO-LIS-01 a 04</t>
        </is>
      </c>
      <c r="N15" s="63">
        <f>IF(I15="","",IF(I15="Alto","Alta",IF(I15="Medio","Media","Baja")))</f>
        <v/>
      </c>
      <c r="O15" s="62" t="inlineStr">
        <is>
          <t>Alonso Vera</t>
        </is>
      </c>
      <c r="P15" s="61" t="inlineStr">
        <is>
          <t>Abierto</t>
        </is>
      </c>
      <c r="Q15" s="61" t="inlineStr">
        <is>
          <t>Entrega 1</t>
        </is>
      </c>
    </row>
    <row r="16" ht="57.75" customHeight="1" s="35">
      <c r="A16" s="60" t="inlineStr">
        <is>
          <t>R12</t>
        </is>
      </c>
      <c r="B16" s="61" t="inlineStr">
        <is>
          <t>Producto</t>
        </is>
      </c>
      <c r="C16" s="62" t="inlineStr">
        <is>
          <t>La interfaz muestra mensajes confusos o inconsistentes ante errores 400, 401, 403 y 503, o no respeta el estándar visual acordado entre squads.</t>
        </is>
      </c>
      <c r="D16" s="62" t="inlineStr">
        <is>
          <t>HU-01 · HU-04 · HU-05 · docs/ui/checklist-consistencia-visual.md</t>
        </is>
      </c>
      <c r="E16" s="62" t="inlineStr">
        <is>
          <t>Frontend React reciente con login simulado; estándar visual acordado con otros squads.</t>
        </is>
      </c>
      <c r="F16" s="61" t="n">
        <v>2</v>
      </c>
      <c r="G16" s="61" t="n">
        <v>1</v>
      </c>
      <c r="H16" s="63">
        <f>IF(OR(F16="",G16=""),"",F16*G16)</f>
        <v/>
      </c>
      <c r="I16" s="63">
        <f>IF(H16="","",IF(H16&gt;=6,"Alto",IF(H16&gt;=3,"Medio","Bajo")))</f>
        <v/>
      </c>
      <c r="J16" s="62" t="inlineStr">
        <is>
          <t>Aceptar</t>
        </is>
      </c>
      <c r="K16" s="62" t="inlineStr">
        <is>
          <t>Exploratorio con charter de sesión en la UI (AUT-06). UI-01 a 03 (formulario, lista y checklist visual) quedan postergados por ser de riesgo bajo.</t>
        </is>
      </c>
      <c r="L16" s="61" t="inlineStr">
        <is>
          <t>12</t>
        </is>
      </c>
      <c r="M16" s="62" t="inlineStr">
        <is>
          <t>PO-AUT-06; PO-PUB-05; PO-VAL-11; PO-UI-01 a 03</t>
        </is>
      </c>
      <c r="N16" s="63">
        <f>IF(I16="","",IF(I16="Alto","Alta",IF(I16="Medio","Media","Baja")))</f>
        <v/>
      </c>
      <c r="O16" s="62" t="inlineStr">
        <is>
          <t>Joaquín Martínez</t>
        </is>
      </c>
      <c r="P16" s="61" t="inlineStr">
        <is>
          <t>Abierto</t>
        </is>
      </c>
      <c r="Q16" s="61" t="inlineStr">
        <is>
          <t>Entrega 1</t>
        </is>
      </c>
    </row>
    <row r="17" ht="72" customHeight="1" s="35">
      <c r="A17" s="60" t="inlineStr">
        <is>
          <t>R13</t>
        </is>
      </c>
      <c r="B17" s="61" t="inlineStr">
        <is>
          <t>Proyecto</t>
        </is>
      </c>
      <c r="C17" s="62" t="inlineStr">
        <is>
          <t>Los tópicos del broker no se acuerdan a tiempo y no se puede probar la notificación de cambios de estado (HU-07, y el mensaje de HU-04 y HU-03).</t>
        </is>
      </c>
      <c r="D17" s="62" t="inlineStr">
        <is>
          <t>ADR-0003 · Contratos Catálogo, Entradas, Notificaciones, Check-in y Promociones</t>
        </is>
      </c>
      <c r="E17" s="62" t="inlineStr">
        <is>
          <t>Los cinco contratos dicen «tópico pendiente de acuerdo»; el outbox y la publicación al broker se construyen en el Sprint 3 (Avance 3, 05/11).</t>
        </is>
      </c>
      <c r="F17" s="61" t="n">
        <v>3</v>
      </c>
      <c r="G17" s="61" t="n">
        <v>2</v>
      </c>
      <c r="H17" s="63">
        <f>IF(OR(F17="",G17=""),"",F17*G17)</f>
        <v/>
      </c>
      <c r="I17" s="63">
        <f>IF(H17="","",IF(H17&gt;=6,"Alto",IF(H17&gt;=3,"Medio","Bajo")))</f>
        <v/>
      </c>
      <c r="J17" s="62" t="inlineStr">
        <is>
          <t>Plan de contingencia</t>
        </is>
      </c>
      <c r="K17" s="62" t="inlineStr">
        <is>
          <t>Probar contra el historial REST (GET cambios-estado) y el contrato; diseñar los casos de HU-07 contra los contratos; pedir a TITEC la decisión del broker en la reunión semanal; si no hay broker, trasladar la prueba de mensajería a la Entrega 3. HU-07 queda trazada con PO-NOT-01, que observa la tabla de salida del Avance 2.</t>
        </is>
      </c>
      <c r="L17" s="61" t="inlineStr">
        <is>
          <t>Gestión</t>
        </is>
      </c>
      <c r="M17" s="62" t="inlineStr">
        <is>
          <t>PO-NOT-01 (Entrega 2, sobre la tabla de salida; contingencia hasta que exista el broker)</t>
        </is>
      </c>
      <c r="N17" s="63">
        <f>IF(I17="","",IF(I17="Alto","Alta",IF(I17="Medio","Media","Baja")))</f>
        <v/>
      </c>
      <c r="O17" s="62" t="inlineStr">
        <is>
          <t>Lucas Rojas</t>
        </is>
      </c>
      <c r="P17" s="61" t="inlineStr">
        <is>
          <t>Abierto</t>
        </is>
      </c>
      <c r="Q17" s="61" t="inlineStr">
        <is>
          <t>Entrega 1</t>
        </is>
      </c>
    </row>
    <row r="18" ht="72" customHeight="1" s="35">
      <c r="A18" s="60" t="inlineStr">
        <is>
          <t>R14</t>
        </is>
      </c>
      <c r="B18" s="61" t="inlineStr">
        <is>
          <t>Proyecto</t>
        </is>
      </c>
      <c r="C18" s="62" t="inlineStr">
        <is>
          <t>El build probado no incluye HU-02, HU-03 ni HU-07 y el repo de presentación va por detrás del repo de trabajo; la cobertura de la Entrega 1 queda limitada a HU-06, HU-01, HU-05 y HU-04.</t>
        </is>
      </c>
      <c r="D18" s="62" t="inlineStr">
        <is>
          <t>Plan de proyecto TITEC: Avance 2 (22/10) y Avance 3 (05/11) · ADR-0012</t>
        </is>
      </c>
      <c r="E18" s="62" t="inlineStr">
        <is>
          <t>Traspaso manual entre repos (ADR-0012, propuesta por acordar); PATCH y DELETE sólo están definidos en el OpenAPI.</t>
        </is>
      </c>
      <c r="F18" s="61" t="n">
        <v>3</v>
      </c>
      <c r="G18" s="61" t="n">
        <v>2</v>
      </c>
      <c r="H18" s="63">
        <f>IF(OR(F18="",G18=""),"",F18*G18)</f>
        <v/>
      </c>
      <c r="I18" s="63">
        <f>IF(H18="","",IF(H18&gt;=6,"Alto",IF(H18&gt;=3,"Medio","Bajo")))</f>
        <v/>
      </c>
      <c r="J18" s="62" t="inlineStr">
        <is>
          <t>Plan de contingencia</t>
        </is>
      </c>
      <c r="K18" s="62" t="inlineStr">
        <is>
          <t>Diseñar los casos contra el OpenAPI (ED-01 a 03, DEL-01 y 02) y ejecutarlos al recibir cada avance; confirmar con TITEC la fecha de cada traspaso y el commit a probar; ejecutar smoke y regresión en cada build nuevo.</t>
        </is>
      </c>
      <c r="L18" s="61" t="inlineStr">
        <is>
          <t>Gestión</t>
        </is>
      </c>
      <c r="M18" s="62" t="inlineStr">
        <is>
          <t>PO-ED-01 a 03; PO-DEL-01, 02</t>
        </is>
      </c>
      <c r="N18" s="63">
        <f>IF(I18="","",IF(I18="Alto","Alta",IF(I18="Medio","Media","Baja")))</f>
        <v/>
      </c>
      <c r="O18" s="62" t="inlineStr">
        <is>
          <t>Lucas Rojas</t>
        </is>
      </c>
      <c r="P18" s="61" t="inlineStr">
        <is>
          <t>Abierto</t>
        </is>
      </c>
      <c r="Q18" s="61" t="inlineStr">
        <is>
          <t>Entrega 1</t>
        </is>
      </c>
    </row>
    <row r="19" ht="72" customHeight="1" s="35">
      <c r="A19" s="60" t="inlineStr">
        <is>
          <t>R15</t>
        </is>
      </c>
      <c r="B19" s="61" t="inlineStr">
        <is>
          <t>Proyecto</t>
        </is>
      </c>
      <c r="C19" s="62" t="inlineStr">
        <is>
          <t>El ambiente es sólo local y con Auth simulado: fallas de Docker o Node 26 en los equipos del grupo, o diferencias con el ambiente de integración real, retrasan o invalidan resultados.</t>
        </is>
      </c>
      <c r="D19" s="62" t="inlineStr">
        <is>
          <t>README del repo (requisitos y comandos) · ADR-0005</t>
        </is>
      </c>
      <c r="E19" s="62" t="inlineStr">
        <is>
          <t>Requiere Node 26.x, Docker y MongoDB; no hay ambiente desplegado; el Auth real llega en el Sprint 4.</t>
        </is>
      </c>
      <c r="F19" s="61" t="n">
        <v>2</v>
      </c>
      <c r="G19" s="61" t="n">
        <v>2</v>
      </c>
      <c r="H19" s="63">
        <f>IF(OR(F19="",G19=""),"",F19*G19)</f>
        <v/>
      </c>
      <c r="I19" s="63">
        <f>IF(H19="","",IF(H19&gt;=6,"Alto",IF(H19&gt;=3,"Medio","Bajo")))</f>
        <v/>
      </c>
      <c r="J19" s="62" t="inlineStr">
        <is>
          <t>Plan de contingencia</t>
        </is>
      </c>
      <c r="K19" s="62" t="inlineStr">
        <is>
          <t>Plan B: ambiente compartido en el equipo de otro integrante y MongoDB local sin Docker con el mock levantado con node; documentar versiones; repetir los casos de riesgo alto contra el Auth real en el Sprint 4.</t>
        </is>
      </c>
      <c r="L19" s="61" t="inlineStr">
        <is>
          <t>Gestión</t>
        </is>
      </c>
      <c r="M19" s="62" t="inlineStr">
        <is>
          <t>N/A (riesgo de proyecto: se gestiona con contingencia)</t>
        </is>
      </c>
      <c r="N19" s="63">
        <f>IF(I19="","",IF(I19="Alto","Alta",IF(I19="Medio","Media","Baja")))</f>
        <v/>
      </c>
      <c r="O19" s="62" t="inlineStr">
        <is>
          <t>Joaquín Martínez</t>
        </is>
      </c>
      <c r="P19" s="61" t="inlineStr">
        <is>
          <t>Abierto</t>
        </is>
      </c>
      <c r="Q19" s="61" t="inlineStr">
        <is>
          <t>Entrega 1</t>
        </is>
      </c>
    </row>
    <row r="20" ht="57.75" customHeight="1" s="35">
      <c r="A20" s="60" t="inlineStr">
        <is>
          <t>R16</t>
        </is>
      </c>
      <c r="B20" s="61" t="inlineStr">
        <is>
          <t>Proyecto</t>
        </is>
      </c>
      <c r="C20" s="62" t="inlineStr">
        <is>
          <t>La disponibilidad del grupo (4 integrantes, unas 8 h/semana cada uno, otras asignaturas) retrasa el diseño, la ejecución y el retest.</t>
        </is>
      </c>
      <c r="D20" s="62" t="inlineStr">
        <is>
          <t>Calendario del curso: Entrega 1 (23/10), Entrega 2 (06/11) y Entrega 3 (27/11)</t>
        </is>
      </c>
      <c r="E20" s="62" t="inlineStr">
        <is>
          <t>Entregas cada dos semanas; carga académica; cada rol está en manos de una sola persona.</t>
        </is>
      </c>
      <c r="F20" s="61" t="n">
        <v>2</v>
      </c>
      <c r="G20" s="61" t="n">
        <v>2</v>
      </c>
      <c r="H20" s="63">
        <f>IF(OR(F20="",G20=""),"",F20*G20)</f>
        <v/>
      </c>
      <c r="I20" s="63">
        <f>IF(H20="","",IF(H20&gt;=6,"Alto",IF(H20&gt;=3,"Medio","Bajo")))</f>
        <v/>
      </c>
      <c r="J20" s="62" t="inlineStr">
        <is>
          <t>Plan de contingencia</t>
        </is>
      </c>
      <c r="K20" s="62" t="inlineStr">
        <is>
          <t>Priorizar por riesgo (primero los altos), respaldo cruzado por rol, reporte semanal y reasignación de casos; recortar casos de riesgo bajo si hace falta.</t>
        </is>
      </c>
      <c r="L20" s="61" t="inlineStr">
        <is>
          <t>Gestión</t>
        </is>
      </c>
      <c r="M20" s="62" t="inlineStr">
        <is>
          <t>N/A (riesgo de proyecto: se gestiona con contingencia)</t>
        </is>
      </c>
      <c r="N20" s="63">
        <f>IF(I20="","",IF(I20="Alto","Alta",IF(I20="Medio","Media","Baja")))</f>
        <v/>
      </c>
      <c r="O20" s="62" t="inlineStr">
        <is>
          <t>Lucas Rojas</t>
        </is>
      </c>
      <c r="P20" s="61" t="inlineStr">
        <is>
          <t>Abierto</t>
        </is>
      </c>
      <c r="Q20" s="61" t="inlineStr">
        <is>
          <t>Entrega 1</t>
        </is>
      </c>
    </row>
    <row r="21" ht="57.75" customHeight="1" s="35">
      <c r="A21" s="60" t="inlineStr">
        <is>
          <t>R17</t>
        </is>
      </c>
      <c r="B21" s="61" t="inlineStr">
        <is>
          <t>Proyecto</t>
        </is>
      </c>
      <c r="C21" s="62" t="inlineStr">
        <is>
          <t>Cambios de build, de contratos (v1.x) o de datos del seed invalidan casos y resultados ya ejecutados.</t>
        </is>
      </c>
      <c r="D21" s="62" t="inlineStr">
        <is>
          <t>ADR-0011 · ADR-0012 · Contratos v1.x</t>
        </is>
      </c>
      <c r="E21" s="62" t="inlineStr">
        <is>
          <t>Los dos repos se desalinearon antes (el contrato Check-in v1.2 sólo existía en uno); el seed tiene fechas fijas que pasan a ser pasadas entre noviembre y diciembre de 2026.</t>
        </is>
      </c>
      <c r="F21" s="61" t="n">
        <v>2</v>
      </c>
      <c r="G21" s="61" t="n">
        <v>2</v>
      </c>
      <c r="H21" s="63">
        <f>IF(OR(F21="",G21=""),"",F21*G21)</f>
        <v/>
      </c>
      <c r="I21" s="63">
        <f>IF(H21="","",IF(H21&gt;=6,"Alto",IF(H21&gt;=3,"Medio","Bajo")))</f>
        <v/>
      </c>
      <c r="J21" s="62" t="inlineStr">
        <is>
          <t>Plan de contingencia</t>
        </is>
      </c>
      <c r="K21" s="62" t="inlineStr">
        <is>
          <t>Colección Newman para regresión rápida; congelar el commit a probar en cada ciclo; versionar el plan; comparar contratos entre repos antes de cada ciclo; revisar las fechas del seed.</t>
        </is>
      </c>
      <c r="L21" s="61" t="inlineStr">
        <is>
          <t>Gestión</t>
        </is>
      </c>
      <c r="M21" s="62" t="inlineStr">
        <is>
          <t>N/A (riesgo de proyecto: se gestiona con contingencia)</t>
        </is>
      </c>
      <c r="N21" s="63">
        <f>IF(I21="","",IF(I21="Alto","Alta",IF(I21="Medio","Media","Baja")))</f>
        <v/>
      </c>
      <c r="O21" s="62" t="inlineStr">
        <is>
          <t>Christopher Okinggton</t>
        </is>
      </c>
      <c r="P21" s="61" t="inlineStr">
        <is>
          <t>Abierto</t>
        </is>
      </c>
      <c r="Q21" s="61" t="inlineStr">
        <is>
          <t>Entrega 1</t>
        </is>
      </c>
    </row>
    <row r="22" ht="43.5" customHeight="1" s="35">
      <c r="A22" s="60" t="inlineStr">
        <is>
          <t>R18</t>
        </is>
      </c>
      <c r="B22" s="61" t="inlineStr">
        <is>
          <t>Proyecto</t>
        </is>
      </c>
      <c r="C22" s="62" t="inlineStr">
        <is>
          <t>Falta de acceso o curva de aprendizaje de TestLink, Mantis, Locust y SonarQube Cloud retrasa el registro y la evidencia.</t>
        </is>
      </c>
      <c r="D22" s="62" t="inlineStr">
        <is>
          <t>Guía de Reporte de Bugs en Mantis · Plantilla de plan de pruebas</t>
        </is>
      </c>
      <c r="E22" s="62" t="inlineStr">
        <is>
          <t>Herramientas nuevas para el grupo; el Test Plan aún no existe en TestLink.</t>
        </is>
      </c>
      <c r="F22" s="61" t="n">
        <v>2</v>
      </c>
      <c r="G22" s="61" t="n">
        <v>1</v>
      </c>
      <c r="H22" s="63">
        <f>IF(OR(F22="",G22=""),"",F22*G22)</f>
        <v/>
      </c>
      <c r="I22" s="63">
        <f>IF(H22="","",IF(H22&gt;=6,"Alto",IF(H22&gt;=3,"Medio","Bajo")))</f>
        <v/>
      </c>
      <c r="J22" s="62" t="inlineStr">
        <is>
          <t>Aceptar</t>
        </is>
      </c>
      <c r="K22" s="62" t="inlineStr">
        <is>
          <t>Se acepta: práctica corta de las herramientas en el grupo y evidencia provisional en la carpeta /qa mientras se habilitan los accesos.</t>
        </is>
      </c>
      <c r="L22" s="61" t="inlineStr">
        <is>
          <t>Gestión</t>
        </is>
      </c>
      <c r="M22" s="62" t="inlineStr">
        <is>
          <t>N/A (riesgo de proyecto: se gestiona con contingencia)</t>
        </is>
      </c>
      <c r="N22" s="63">
        <f>IF(I22="","",IF(I22="Alto","Alta",IF(I22="Medio","Media","Baja")))</f>
        <v/>
      </c>
      <c r="O22" s="62" t="inlineStr">
        <is>
          <t>Joaquín Martínez</t>
        </is>
      </c>
      <c r="P22" s="61" t="inlineStr">
        <is>
          <t>Abierto</t>
        </is>
      </c>
      <c r="Q22" s="61" t="inlineStr">
        <is>
          <t>Entrega 1</t>
        </is>
      </c>
    </row>
    <row r="23" ht="15" customHeight="1" s="35">
      <c r="A23" s="60" t="inlineStr">
        <is>
          <t>R19</t>
        </is>
      </c>
      <c r="B23" s="61" t="n"/>
      <c r="C23" s="62" t="n"/>
      <c r="D23" s="62" t="n"/>
      <c r="E23" s="62" t="n"/>
      <c r="F23" s="61" t="n"/>
      <c r="G23" s="61" t="n"/>
      <c r="H23" s="63">
        <f>IF(OR(F23="",G23=""),"",F23*G23)</f>
        <v/>
      </c>
      <c r="I23" s="63">
        <f>IF(H23="","",IF(H23&gt;=6,"Alto",IF(H23&gt;=3,"Medio","Bajo")))</f>
        <v/>
      </c>
      <c r="J23" s="62" t="n"/>
      <c r="K23" s="62" t="n"/>
      <c r="L23" s="61" t="n"/>
      <c r="M23" s="62" t="n"/>
      <c r="N23" s="63">
        <f>IF(I23="","",IF(I23="Alto","Alta",IF(I23="Medio","Media","Baja")))</f>
        <v/>
      </c>
      <c r="O23" s="62" t="n"/>
      <c r="P23" s="61" t="n"/>
      <c r="Q23" s="61" t="n"/>
    </row>
    <row r="24" ht="15" customHeight="1" s="35">
      <c r="A24" s="60" t="inlineStr">
        <is>
          <t>R20</t>
        </is>
      </c>
      <c r="B24" s="61" t="n"/>
      <c r="C24" s="62" t="n"/>
      <c r="D24" s="62" t="n"/>
      <c r="E24" s="62" t="n"/>
      <c r="F24" s="61" t="n"/>
      <c r="G24" s="61" t="n"/>
      <c r="H24" s="63">
        <f>IF(OR(F24="",G24=""),"",F24*G24)</f>
        <v/>
      </c>
      <c r="I24" s="63">
        <f>IF(H24="","",IF(H24&gt;=6,"Alto",IF(H24&gt;=3,"Medio","Bajo")))</f>
        <v/>
      </c>
      <c r="J24" s="62" t="n"/>
      <c r="K24" s="62" t="n"/>
      <c r="L24" s="61" t="n"/>
      <c r="M24" s="62" t="n"/>
      <c r="N24" s="63">
        <f>IF(I24="","",IF(I24="Alto","Alta",IF(I24="Medio","Media","Baja")))</f>
        <v/>
      </c>
      <c r="O24" s="62" t="n"/>
      <c r="P24" s="61" t="n"/>
      <c r="Q24" s="61" t="n"/>
    </row>
    <row r="25" ht="15" customHeight="1" s="35">
      <c r="A25" s="60" t="inlineStr">
        <is>
          <t>R21</t>
        </is>
      </c>
      <c r="B25" s="61" t="n"/>
      <c r="C25" s="62" t="n"/>
      <c r="D25" s="62" t="n"/>
      <c r="E25" s="62" t="n"/>
      <c r="F25" s="61" t="n"/>
      <c r="G25" s="61" t="n"/>
      <c r="H25" s="63">
        <f>IF(OR(F25="",G25=""),"",F25*G25)</f>
        <v/>
      </c>
      <c r="I25" s="63">
        <f>IF(H25="","",IF(H25&gt;=6,"Alto",IF(H25&gt;=3,"Medio","Bajo")))</f>
        <v/>
      </c>
      <c r="J25" s="62" t="n"/>
      <c r="K25" s="62" t="n"/>
      <c r="L25" s="61" t="n"/>
      <c r="M25" s="62" t="n"/>
      <c r="N25" s="63">
        <f>IF(I25="","",IF(I25="Alto","Alta",IF(I25="Medio","Media","Baja")))</f>
        <v/>
      </c>
      <c r="O25" s="62" t="n"/>
      <c r="P25" s="61" t="n"/>
      <c r="Q25" s="61" t="n"/>
    </row>
    <row r="26" ht="15" customHeight="1" s="35">
      <c r="A26" s="60" t="inlineStr">
        <is>
          <t>R22</t>
        </is>
      </c>
      <c r="B26" s="61" t="n"/>
      <c r="C26" s="62" t="n"/>
      <c r="D26" s="62" t="n"/>
      <c r="E26" s="62" t="n"/>
      <c r="F26" s="61" t="n"/>
      <c r="G26" s="61" t="n"/>
      <c r="H26" s="63">
        <f>IF(OR(F26="",G26=""),"",F26*G26)</f>
        <v/>
      </c>
      <c r="I26" s="63">
        <f>IF(H26="","",IF(H26&gt;=6,"Alto",IF(H26&gt;=3,"Medio","Bajo")))</f>
        <v/>
      </c>
      <c r="J26" s="62" t="n"/>
      <c r="K26" s="62" t="n"/>
      <c r="L26" s="61" t="n"/>
      <c r="M26" s="62" t="n"/>
      <c r="N26" s="63">
        <f>IF(I26="","",IF(I26="Alto","Alta",IF(I26="Medio","Media","Baja")))</f>
        <v/>
      </c>
      <c r="O26" s="62" t="n"/>
      <c r="P26" s="61" t="n"/>
      <c r="Q26" s="61" t="n"/>
    </row>
    <row r="27" ht="15" customHeight="1" s="35">
      <c r="A27" s="60" t="inlineStr">
        <is>
          <t>R23</t>
        </is>
      </c>
      <c r="B27" s="61" t="n"/>
      <c r="C27" s="62" t="n"/>
      <c r="D27" s="62" t="n"/>
      <c r="E27" s="62" t="n"/>
      <c r="F27" s="61" t="n"/>
      <c r="G27" s="61" t="n"/>
      <c r="H27" s="63">
        <f>IF(OR(F27="",G27=""),"",F27*G27)</f>
        <v/>
      </c>
      <c r="I27" s="63">
        <f>IF(H27="","",IF(H27&gt;=6,"Alto",IF(H27&gt;=3,"Medio","Bajo")))</f>
        <v/>
      </c>
      <c r="J27" s="62" t="n"/>
      <c r="K27" s="62" t="n"/>
      <c r="L27" s="61" t="n"/>
      <c r="M27" s="62" t="n"/>
      <c r="N27" s="63">
        <f>IF(I27="","",IF(I27="Alto","Alta",IF(I27="Medio","Media","Baja")))</f>
        <v/>
      </c>
      <c r="O27" s="62" t="n"/>
      <c r="P27" s="61" t="n"/>
      <c r="Q27" s="61" t="n"/>
    </row>
    <row r="28" ht="15" customHeight="1" s="35">
      <c r="A28" s="60" t="inlineStr">
        <is>
          <t>R24</t>
        </is>
      </c>
      <c r="B28" s="61" t="n"/>
      <c r="C28" s="62" t="n"/>
      <c r="D28" s="62" t="n"/>
      <c r="E28" s="62" t="n"/>
      <c r="F28" s="61" t="n"/>
      <c r="G28" s="61" t="n"/>
      <c r="H28" s="63">
        <f>IF(OR(F28="",G28=""),"",F28*G28)</f>
        <v/>
      </c>
      <c r="I28" s="63">
        <f>IF(H28="","",IF(H28&gt;=6,"Alto",IF(H28&gt;=3,"Medio","Bajo")))</f>
        <v/>
      </c>
      <c r="J28" s="62" t="n"/>
      <c r="K28" s="62" t="n"/>
      <c r="L28" s="61" t="n"/>
      <c r="M28" s="62" t="n"/>
      <c r="N28" s="63">
        <f>IF(I28="","",IF(I28="Alto","Alta",IF(I28="Medio","Media","Baja")))</f>
        <v/>
      </c>
      <c r="O28" s="62" t="n"/>
      <c r="P28" s="61" t="n"/>
      <c r="Q28" s="61" t="n"/>
    </row>
    <row r="29" ht="15" customHeight="1" s="35">
      <c r="A29" s="60" t="inlineStr">
        <is>
          <t>R25</t>
        </is>
      </c>
      <c r="B29" s="61" t="n"/>
      <c r="C29" s="62" t="n"/>
      <c r="D29" s="62" t="n"/>
      <c r="E29" s="62" t="n"/>
      <c r="F29" s="61" t="n"/>
      <c r="G29" s="61" t="n"/>
      <c r="H29" s="63">
        <f>IF(OR(F29="",G29=""),"",F29*G29)</f>
        <v/>
      </c>
      <c r="I29" s="63">
        <f>IF(H29="","",IF(H29&gt;=6,"Alto",IF(H29&gt;=3,"Medio","Bajo")))</f>
        <v/>
      </c>
      <c r="J29" s="62" t="n"/>
      <c r="K29" s="62" t="n"/>
      <c r="L29" s="61" t="n"/>
      <c r="M29" s="62" t="n"/>
      <c r="N29" s="63">
        <f>IF(I29="","",IF(I29="Alto","Alta",IF(I29="Medio","Media","Baja")))</f>
        <v/>
      </c>
      <c r="O29" s="62" t="n"/>
      <c r="P29" s="61" t="n"/>
      <c r="Q29" s="61" t="n"/>
    </row>
    <row r="30" ht="15" customHeight="1" s="35">
      <c r="A30" s="60" t="inlineStr">
        <is>
          <t>R26</t>
        </is>
      </c>
      <c r="B30" s="61" t="n"/>
      <c r="C30" s="62" t="n"/>
      <c r="D30" s="62" t="n"/>
      <c r="E30" s="62" t="n"/>
      <c r="F30" s="61" t="n"/>
      <c r="G30" s="61" t="n"/>
      <c r="H30" s="63">
        <f>IF(OR(F30="",G30=""),"",F30*G30)</f>
        <v/>
      </c>
      <c r="I30" s="63">
        <f>IF(H30="","",IF(H30&gt;=6,"Alto",IF(H30&gt;=3,"Medio","Bajo")))</f>
        <v/>
      </c>
      <c r="J30" s="62" t="n"/>
      <c r="K30" s="62" t="n"/>
      <c r="L30" s="61" t="n"/>
      <c r="M30" s="62" t="n"/>
      <c r="N30" s="63">
        <f>IF(I30="","",IF(I30="Alto","Alta",IF(I30="Medio","Media","Baja")))</f>
        <v/>
      </c>
      <c r="O30" s="62" t="n"/>
      <c r="P30" s="61" t="n"/>
      <c r="Q30" s="61" t="n"/>
    </row>
    <row r="31" ht="15" customHeight="1" s="35">
      <c r="A31" s="60" t="inlineStr">
        <is>
          <t>R27</t>
        </is>
      </c>
      <c r="B31" s="61" t="n"/>
      <c r="C31" s="62" t="n"/>
      <c r="D31" s="62" t="n"/>
      <c r="E31" s="62" t="n"/>
      <c r="F31" s="61" t="n"/>
      <c r="G31" s="61" t="n"/>
      <c r="H31" s="63">
        <f>IF(OR(F31="",G31=""),"",F31*G31)</f>
        <v/>
      </c>
      <c r="I31" s="63">
        <f>IF(H31="","",IF(H31&gt;=6,"Alto",IF(H31&gt;=3,"Medio","Bajo")))</f>
        <v/>
      </c>
      <c r="J31" s="62" t="n"/>
      <c r="K31" s="62" t="n"/>
      <c r="L31" s="61" t="n"/>
      <c r="M31" s="62" t="n"/>
      <c r="N31" s="63">
        <f>IF(I31="","",IF(I31="Alto","Alta",IF(I31="Medio","Media","Baja")))</f>
        <v/>
      </c>
      <c r="O31" s="62" t="n"/>
      <c r="P31" s="61" t="n"/>
      <c r="Q31" s="61" t="n"/>
    </row>
    <row r="32" ht="15" customHeight="1" s="35">
      <c r="A32" s="60" t="inlineStr">
        <is>
          <t>R28</t>
        </is>
      </c>
      <c r="B32" s="61" t="n"/>
      <c r="C32" s="62" t="n"/>
      <c r="D32" s="62" t="n"/>
      <c r="E32" s="62" t="n"/>
      <c r="F32" s="61" t="n"/>
      <c r="G32" s="61" t="n"/>
      <c r="H32" s="63">
        <f>IF(OR(F32="",G32=""),"",F32*G32)</f>
        <v/>
      </c>
      <c r="I32" s="63">
        <f>IF(H32="","",IF(H32&gt;=6,"Alto",IF(H32&gt;=3,"Medio","Bajo")))</f>
        <v/>
      </c>
      <c r="J32" s="62" t="n"/>
      <c r="K32" s="62" t="n"/>
      <c r="L32" s="61" t="n"/>
      <c r="M32" s="62" t="n"/>
      <c r="N32" s="63">
        <f>IF(I32="","",IF(I32="Alto","Alta",IF(I32="Medio","Media","Baja")))</f>
        <v/>
      </c>
      <c r="O32" s="62" t="n"/>
      <c r="P32" s="61" t="n"/>
      <c r="Q32" s="61" t="n"/>
    </row>
    <row r="33" ht="15" customHeight="1" s="35">
      <c r="A33" s="60" t="inlineStr">
        <is>
          <t>R29</t>
        </is>
      </c>
      <c r="B33" s="61" t="n"/>
      <c r="C33" s="62" t="n"/>
      <c r="D33" s="62" t="n"/>
      <c r="E33" s="62" t="n"/>
      <c r="F33" s="61" t="n"/>
      <c r="G33" s="61" t="n"/>
      <c r="H33" s="63">
        <f>IF(OR(F33="",G33=""),"",F33*G33)</f>
        <v/>
      </c>
      <c r="I33" s="63">
        <f>IF(H33="","",IF(H33&gt;=6,"Alto",IF(H33&gt;=3,"Medio","Bajo")))</f>
        <v/>
      </c>
      <c r="J33" s="62" t="n"/>
      <c r="K33" s="62" t="n"/>
      <c r="L33" s="61" t="n"/>
      <c r="M33" s="62" t="n"/>
      <c r="N33" s="63">
        <f>IF(I33="","",IF(I33="Alto","Alta",IF(I33="Medio","Media","Baja")))</f>
        <v/>
      </c>
      <c r="O33" s="62" t="n"/>
      <c r="P33" s="61" t="n"/>
      <c r="Q33" s="61" t="n"/>
    </row>
    <row r="34" ht="15" customHeight="1" s="35">
      <c r="A34" s="60" t="inlineStr">
        <is>
          <t>R30</t>
        </is>
      </c>
      <c r="B34" s="61" t="n"/>
      <c r="C34" s="62" t="n"/>
      <c r="D34" s="62" t="n"/>
      <c r="E34" s="62" t="n"/>
      <c r="F34" s="61" t="n"/>
      <c r="G34" s="61" t="n"/>
      <c r="H34" s="63">
        <f>IF(OR(F34="",G34=""),"",F34*G34)</f>
        <v/>
      </c>
      <c r="I34" s="63">
        <f>IF(H34="","",IF(H34&gt;=6,"Alto",IF(H34&gt;=3,"Medio","Bajo")))</f>
        <v/>
      </c>
      <c r="J34" s="62" t="n"/>
      <c r="K34" s="62" t="n"/>
      <c r="L34" s="61" t="n"/>
      <c r="M34" s="62" t="n"/>
      <c r="N34" s="63">
        <f>IF(I34="","",IF(I34="Alto","Alta",IF(I34="Medio","Media","Baja")))</f>
        <v/>
      </c>
      <c r="O34" s="62" t="n"/>
      <c r="P34" s="61" t="n"/>
      <c r="Q34" s="61" t="n"/>
    </row>
    <row r="35" ht="15" customHeight="1" s="35">
      <c r="A35" s="60" t="inlineStr">
        <is>
          <t>R31</t>
        </is>
      </c>
      <c r="B35" s="61" t="n"/>
      <c r="C35" s="62" t="n"/>
      <c r="D35" s="62" t="n"/>
      <c r="E35" s="62" t="n"/>
      <c r="F35" s="61" t="n"/>
      <c r="G35" s="61" t="n"/>
      <c r="H35" s="63">
        <f>IF(OR(F35="",G35=""),"",F35*G35)</f>
        <v/>
      </c>
      <c r="I35" s="63">
        <f>IF(H35="","",IF(H35&gt;=6,"Alto",IF(H35&gt;=3,"Medio","Bajo")))</f>
        <v/>
      </c>
      <c r="J35" s="62" t="n"/>
      <c r="K35" s="62" t="n"/>
      <c r="L35" s="61" t="n"/>
      <c r="M35" s="62" t="n"/>
      <c r="N35" s="63">
        <f>IF(I35="","",IF(I35="Alto","Alta",IF(I35="Medio","Media","Baja")))</f>
        <v/>
      </c>
      <c r="O35" s="62" t="n"/>
      <c r="P35" s="61" t="n"/>
      <c r="Q35" s="61" t="n"/>
    </row>
    <row r="36" ht="15" customHeight="1" s="35">
      <c r="A36" s="60" t="inlineStr">
        <is>
          <t>R32</t>
        </is>
      </c>
      <c r="B36" s="61" t="n"/>
      <c r="C36" s="62" t="n"/>
      <c r="D36" s="62" t="n"/>
      <c r="E36" s="62" t="n"/>
      <c r="F36" s="61" t="n"/>
      <c r="G36" s="61" t="n"/>
      <c r="H36" s="63">
        <f>IF(OR(F36="",G36=""),"",F36*G36)</f>
        <v/>
      </c>
      <c r="I36" s="63">
        <f>IF(H36="","",IF(H36&gt;=6,"Alto",IF(H36&gt;=3,"Medio","Bajo")))</f>
        <v/>
      </c>
      <c r="J36" s="62" t="n"/>
      <c r="K36" s="62" t="n"/>
      <c r="L36" s="61" t="n"/>
      <c r="M36" s="62" t="n"/>
      <c r="N36" s="63">
        <f>IF(I36="","",IF(I36="Alto","Alta",IF(I36="Medio","Media","Baja")))</f>
        <v/>
      </c>
      <c r="O36" s="62" t="n"/>
      <c r="P36" s="61" t="n"/>
      <c r="Q36" s="61" t="n"/>
    </row>
    <row r="37" ht="15" customHeight="1" s="35">
      <c r="A37" s="60" t="inlineStr">
        <is>
          <t>R33</t>
        </is>
      </c>
      <c r="B37" s="61" t="n"/>
      <c r="C37" s="62" t="n"/>
      <c r="D37" s="62" t="n"/>
      <c r="E37" s="62" t="n"/>
      <c r="F37" s="61" t="n"/>
      <c r="G37" s="61" t="n"/>
      <c r="H37" s="63">
        <f>IF(OR(F37="",G37=""),"",F37*G37)</f>
        <v/>
      </c>
      <c r="I37" s="63">
        <f>IF(H37="","",IF(H37&gt;=6,"Alto",IF(H37&gt;=3,"Medio","Bajo")))</f>
        <v/>
      </c>
      <c r="J37" s="62" t="n"/>
      <c r="K37" s="62" t="n"/>
      <c r="L37" s="61" t="n"/>
      <c r="M37" s="62" t="n"/>
      <c r="N37" s="63">
        <f>IF(I37="","",IF(I37="Alto","Alta",IF(I37="Medio","Media","Baja")))</f>
        <v/>
      </c>
      <c r="O37" s="62" t="n"/>
      <c r="P37" s="61" t="n"/>
      <c r="Q37" s="61" t="n"/>
    </row>
    <row r="38" ht="15" customHeight="1" s="35">
      <c r="A38" s="60" t="inlineStr">
        <is>
          <t>R34</t>
        </is>
      </c>
      <c r="B38" s="61" t="n"/>
      <c r="C38" s="62" t="n"/>
      <c r="D38" s="62" t="n"/>
      <c r="E38" s="62" t="n"/>
      <c r="F38" s="61" t="n"/>
      <c r="G38" s="61" t="n"/>
      <c r="H38" s="63">
        <f>IF(OR(F38="",G38=""),"",F38*G38)</f>
        <v/>
      </c>
      <c r="I38" s="63">
        <f>IF(H38="","",IF(H38&gt;=6,"Alto",IF(H38&gt;=3,"Medio","Bajo")))</f>
        <v/>
      </c>
      <c r="J38" s="62" t="n"/>
      <c r="K38" s="62" t="n"/>
      <c r="L38" s="61" t="n"/>
      <c r="M38" s="62" t="n"/>
      <c r="N38" s="63">
        <f>IF(I38="","",IF(I38="Alto","Alta",IF(I38="Medio","Media","Baja")))</f>
        <v/>
      </c>
      <c r="O38" s="62" t="n"/>
      <c r="P38" s="61" t="n"/>
      <c r="Q38" s="61" t="n"/>
    </row>
    <row r="39" ht="15" customHeight="1" s="35">
      <c r="A39" s="60" t="inlineStr">
        <is>
          <t>R35</t>
        </is>
      </c>
      <c r="B39" s="61" t="n"/>
      <c r="C39" s="62" t="n"/>
      <c r="D39" s="62" t="n"/>
      <c r="E39" s="62" t="n"/>
      <c r="F39" s="61" t="n"/>
      <c r="G39" s="61" t="n"/>
      <c r="H39" s="63">
        <f>IF(OR(F39="",G39=""),"",F39*G39)</f>
        <v/>
      </c>
      <c r="I39" s="63">
        <f>IF(H39="","",IF(H39&gt;=6,"Alto",IF(H39&gt;=3,"Medio","Bajo")))</f>
        <v/>
      </c>
      <c r="J39" s="62" t="n"/>
      <c r="K39" s="62" t="n"/>
      <c r="L39" s="61" t="n"/>
      <c r="M39" s="62" t="n"/>
      <c r="N39" s="63">
        <f>IF(I39="","",IF(I39="Alto","Alta",IF(I39="Medio","Media","Baja")))</f>
        <v/>
      </c>
      <c r="O39" s="62" t="n"/>
      <c r="P39" s="61" t="n"/>
      <c r="Q39" s="61" t="n"/>
    </row>
    <row r="40" ht="15" customHeight="1" s="35">
      <c r="A40" s="60" t="inlineStr">
        <is>
          <t>R36</t>
        </is>
      </c>
      <c r="B40" s="61" t="n"/>
      <c r="C40" s="62" t="n"/>
      <c r="D40" s="62" t="n"/>
      <c r="E40" s="62" t="n"/>
      <c r="F40" s="61" t="n"/>
      <c r="G40" s="61" t="n"/>
      <c r="H40" s="63">
        <f>IF(OR(F40="",G40=""),"",F40*G40)</f>
        <v/>
      </c>
      <c r="I40" s="63">
        <f>IF(H40="","",IF(H40&gt;=6,"Alto",IF(H40&gt;=3,"Medio","Bajo")))</f>
        <v/>
      </c>
      <c r="J40" s="62" t="n"/>
      <c r="K40" s="62" t="n"/>
      <c r="L40" s="61" t="n"/>
      <c r="M40" s="62" t="n"/>
      <c r="N40" s="63">
        <f>IF(I40="","",IF(I40="Alto","Alta",IF(I40="Medio","Media","Baja")))</f>
        <v/>
      </c>
      <c r="O40" s="62" t="n"/>
      <c r="P40" s="61" t="n"/>
      <c r="Q40" s="61" t="n"/>
    </row>
    <row r="41" ht="15" customHeight="1" s="35">
      <c r="A41" s="60" t="inlineStr">
        <is>
          <t>R37</t>
        </is>
      </c>
      <c r="B41" s="61" t="n"/>
      <c r="C41" s="62" t="n"/>
      <c r="D41" s="62" t="n"/>
      <c r="E41" s="62" t="n"/>
      <c r="F41" s="61" t="n"/>
      <c r="G41" s="61" t="n"/>
      <c r="H41" s="63">
        <f>IF(OR(F41="",G41=""),"",F41*G41)</f>
        <v/>
      </c>
      <c r="I41" s="63">
        <f>IF(H41="","",IF(H41&gt;=6,"Alto",IF(H41&gt;=3,"Medio","Bajo")))</f>
        <v/>
      </c>
      <c r="J41" s="62" t="n"/>
      <c r="K41" s="62" t="n"/>
      <c r="L41" s="61" t="n"/>
      <c r="M41" s="62" t="n"/>
      <c r="N41" s="63">
        <f>IF(I41="","",IF(I41="Alto","Alta",IF(I41="Medio","Media","Baja")))</f>
        <v/>
      </c>
      <c r="O41" s="62" t="n"/>
      <c r="P41" s="61" t="n"/>
      <c r="Q41" s="61" t="n"/>
    </row>
    <row r="42" ht="15" customHeight="1" s="35">
      <c r="A42" s="60" t="inlineStr">
        <is>
          <t>R38</t>
        </is>
      </c>
      <c r="B42" s="61" t="n"/>
      <c r="C42" s="62" t="n"/>
      <c r="D42" s="62" t="n"/>
      <c r="E42" s="62" t="n"/>
      <c r="F42" s="61" t="n"/>
      <c r="G42" s="61" t="n"/>
      <c r="H42" s="63">
        <f>IF(OR(F42="",G42=""),"",F42*G42)</f>
        <v/>
      </c>
      <c r="I42" s="63">
        <f>IF(H42="","",IF(H42&gt;=6,"Alto",IF(H42&gt;=3,"Medio","Bajo")))</f>
        <v/>
      </c>
      <c r="J42" s="62" t="n"/>
      <c r="K42" s="62" t="n"/>
      <c r="L42" s="61" t="n"/>
      <c r="M42" s="62" t="n"/>
      <c r="N42" s="63">
        <f>IF(I42="","",IF(I42="Alto","Alta",IF(I42="Medio","Media","Baja")))</f>
        <v/>
      </c>
      <c r="O42" s="62" t="n"/>
      <c r="P42" s="61" t="n"/>
      <c r="Q42" s="61" t="n"/>
    </row>
    <row r="43" ht="15" customHeight="1" s="35">
      <c r="A43" s="60" t="inlineStr">
        <is>
          <t>R39</t>
        </is>
      </c>
      <c r="B43" s="61" t="n"/>
      <c r="C43" s="62" t="n"/>
      <c r="D43" s="62" t="n"/>
      <c r="E43" s="62" t="n"/>
      <c r="F43" s="61" t="n"/>
      <c r="G43" s="61" t="n"/>
      <c r="H43" s="63">
        <f>IF(OR(F43="",G43=""),"",F43*G43)</f>
        <v/>
      </c>
      <c r="I43" s="63">
        <f>IF(H43="","",IF(H43&gt;=6,"Alto",IF(H43&gt;=3,"Medio","Bajo")))</f>
        <v/>
      </c>
      <c r="J43" s="62" t="n"/>
      <c r="K43" s="62" t="n"/>
      <c r="L43" s="61" t="n"/>
      <c r="M43" s="62" t="n"/>
      <c r="N43" s="63">
        <f>IF(I43="","",IF(I43="Alto","Alta",IF(I43="Medio","Media","Baja")))</f>
        <v/>
      </c>
      <c r="O43" s="62" t="n"/>
      <c r="P43" s="61" t="n"/>
      <c r="Q43" s="61" t="n"/>
    </row>
    <row r="44" ht="15" customHeight="1" s="35">
      <c r="A44" s="60" t="inlineStr">
        <is>
          <t>R40</t>
        </is>
      </c>
      <c r="B44" s="61" t="n"/>
      <c r="C44" s="62" t="n"/>
      <c r="D44" s="62" t="n"/>
      <c r="E44" s="62" t="n"/>
      <c r="F44" s="61" t="n"/>
      <c r="G44" s="61" t="n"/>
      <c r="H44" s="63">
        <f>IF(OR(F44="",G44=""),"",F44*G44)</f>
        <v/>
      </c>
      <c r="I44" s="63">
        <f>IF(H44="","",IF(H44&gt;=6,"Alto",IF(H44&gt;=3,"Medio","Bajo")))</f>
        <v/>
      </c>
      <c r="J44" s="62" t="n"/>
      <c r="K44" s="62" t="n"/>
      <c r="L44" s="61" t="n"/>
      <c r="M44" s="62" t="n"/>
      <c r="N44" s="63">
        <f>IF(I44="","",IF(I44="Alto","Alta",IF(I44="Medio","Media","Baja")))</f>
        <v/>
      </c>
      <c r="O44" s="62" t="n"/>
      <c r="P44" s="61" t="n"/>
      <c r="Q44" s="61" t="n"/>
    </row>
  </sheetData>
  <autoFilter ref="A4:Q44"/>
  <conditionalFormatting sqref="H5:H44">
    <cfRule type="expression" rank="0" priority="2" equalAverage="0" aboveAverage="0" dxfId="8" text="" percent="0" bottom="0">
      <formula>$I5="Alto"</formula>
    </cfRule>
    <cfRule type="expression" rank="0" priority="3" equalAverage="0" aboveAverage="0" dxfId="9" text="" percent="0" bottom="0">
      <formula>$I5="Medio"</formula>
    </cfRule>
    <cfRule type="expression" rank="0" priority="4" equalAverage="0" aboveAverage="0" dxfId="10" text="" percent="0" bottom="0">
      <formula>$I5="Bajo"</formula>
    </cfRule>
  </conditionalFormatting>
  <conditionalFormatting sqref="I5:I44">
    <cfRule type="expression" rank="0" priority="5" equalAverage="0" aboveAverage="0" dxfId="8" text="" percent="0" bottom="0">
      <formula>$I5="Alto"</formula>
    </cfRule>
    <cfRule type="expression" rank="0" priority="6" equalAverage="0" aboveAverage="0" dxfId="9" text="" percent="0" bottom="0">
      <formula>$I5="Medio"</formula>
    </cfRule>
    <cfRule type="expression" rank="0" priority="7" equalAverage="0" aboveAverage="0" dxfId="10" text="" percent="0" bottom="0">
      <formula>$I5="Bajo"</formula>
    </cfRule>
  </conditionalFormatting>
  <dataValidations count="5">
    <dataValidation sqref="B5:B44" showDropDown="0" showInputMessage="0" showErrorMessage="1" allowBlank="1" errorTitle="Tipo" error="Elijan Producto o Proyecto." type="list" errorStyle="stop" operator="between">
      <formula1>"Producto,Proyecto"</formula1>
      <formula2>0</formula2>
    </dataValidation>
    <dataValidation sqref="F5:G44" showDropDown="0" showInputMessage="0" showErrorMessage="1" allowBlank="1" errorTitle="Valor fuera de escala" error="Usen un entero de 1 a 3." type="whole" errorStyle="stop" operator="between">
      <formula1>1</formula1>
      <formula2>3</formula2>
    </dataValidation>
    <dataValidation sqref="J5:J44" showDropDown="0" showInputMessage="0" showErrorMessage="1" allowBlank="1" errorTitle="Respuesta" error="Elijan una respuesta de la lista." type="list" errorStyle="stop" operator="between">
      <formula1>"Mitigar con pruebas,Aceptar,Transferir,Plan de contingencia"</formula1>
      <formula2>0</formula2>
    </dataValidation>
    <dataValidation sqref="P5:P44" showDropDown="0" showInputMessage="0" showErrorMessage="1" allowBlank="1" errorTitle="Estado" error="Elijan un estado de la lista." type="list" errorStyle="stop" operator="between">
      <formula1>"Abierto,En mitigación,Mitigado,Materializado,Cerrado"</formula1>
      <formula2>0</formula2>
    </dataValidation>
    <dataValidation sqref="Q5:Q44" showDropDown="0" showInputMessage="0" showErrorMessage="1" allowBlank="1" errorTitle="Revisión" error="Elijan la entrega." type="list" errorStyle="stop" operator="between">
      <formula1>"Entrega 1,Entrega 2,Entrega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16" customWidth="1" style="34" min="2" max="2"/>
    <col width="18" customWidth="1" style="34" min="3" max="5"/>
    <col width="3" customWidth="1" style="34" min="6" max="6"/>
    <col width="14" customWidth="1" style="34" min="7" max="7"/>
    <col width="40" customWidth="1" style="34" min="8" max="8"/>
  </cols>
  <sheetData>
    <row r="2" ht="21.75" customHeight="1" s="35">
      <c r="B2" s="50" t="inlineStr">
        <is>
          <t>Matriz de riesgos 3 × 3</t>
        </is>
      </c>
    </row>
    <row r="3" ht="15" customHeight="1" s="35">
      <c r="B3" s="38" t="inlineStr">
        <is>
          <t>Se calcula desde el «Registro de riesgos». Cada celda muestra el nivel (P × I) y la cantidad de riesgos.</t>
        </is>
      </c>
    </row>
    <row r="5" ht="15" customHeight="1" s="35">
      <c r="B5" s="64" t="inlineStr">
        <is>
          <t>Prob. \ Impacto</t>
        </is>
      </c>
      <c r="C5" s="52" t="inlineStr">
        <is>
          <t>Bajo (1)</t>
        </is>
      </c>
      <c r="D5" s="52" t="inlineStr">
        <is>
          <t>Medio (2)</t>
        </is>
      </c>
      <c r="E5" s="52" t="inlineStr">
        <is>
          <t>Alto (3)</t>
        </is>
      </c>
    </row>
    <row r="6" ht="48" customHeight="1" s="35">
      <c r="B6" s="52" t="inlineStr">
        <is>
          <t>Alta (3)</t>
        </is>
      </c>
      <c r="C6" s="56">
        <f>"3 · Medio"&amp;CHAR(10)&amp;COUNTIFS('Registro de riesgos'!$F$5:$F$44,3,'Registro de riesgos'!$G$5:$G$44,1)&amp;" riesgo(s)"</f>
        <v/>
      </c>
      <c r="D6" s="55">
        <f>"6 · Alto"&amp;CHAR(10)&amp;COUNTIFS('Registro de riesgos'!$F$5:$F$44,3,'Registro de riesgos'!$G$5:$G$44,2)&amp;" riesgo(s)"</f>
        <v/>
      </c>
      <c r="E6" s="55">
        <f>"9 · Alto"&amp;CHAR(10)&amp;COUNTIFS('Registro de riesgos'!$F$5:$F$44,3,'Registro de riesgos'!$G$5:$G$44,3)&amp;" riesgo(s)"</f>
        <v/>
      </c>
      <c r="G6" s="55" t="inlineStr">
        <is>
          <t>Alto</t>
        </is>
      </c>
      <c r="H6" s="44" t="inlineStr">
        <is>
          <t>6–9 · primero y a fondo</t>
        </is>
      </c>
    </row>
    <row r="7" ht="48" customHeight="1" s="35">
      <c r="B7" s="52" t="inlineStr">
        <is>
          <t>Media (2)</t>
        </is>
      </c>
      <c r="C7" s="57">
        <f>"2 · Bajo"&amp;CHAR(10)&amp;COUNTIFS('Registro de riesgos'!$F$5:$F$44,2,'Registro de riesgos'!$G$5:$G$44,1)&amp;" riesgo(s)"</f>
        <v/>
      </c>
      <c r="D7" s="56">
        <f>"4 · Medio"&amp;CHAR(10)&amp;COUNTIFS('Registro de riesgos'!$F$5:$F$44,2,'Registro de riesgos'!$G$5:$G$44,2)&amp;" riesgo(s)"</f>
        <v/>
      </c>
      <c r="E7" s="55">
        <f>"6 · Alto"&amp;CHAR(10)&amp;COUNTIFS('Registro de riesgos'!$F$5:$F$44,2,'Registro de riesgos'!$G$5:$G$44,3)&amp;" riesgo(s)"</f>
        <v/>
      </c>
      <c r="G7" s="56" t="inlineStr">
        <is>
          <t>Medio</t>
        </is>
      </c>
      <c r="H7" s="44" t="inlineStr">
        <is>
          <t>3–4 · técnica principal</t>
        </is>
      </c>
    </row>
    <row r="8" ht="48" customHeight="1" s="35">
      <c r="B8" s="52" t="inlineStr">
        <is>
          <t>Baja (1)</t>
        </is>
      </c>
      <c r="C8" s="57">
        <f>"1 · Bajo"&amp;CHAR(10)&amp;COUNTIFS('Registro de riesgos'!$F$5:$F$44,1,'Registro de riesgos'!$G$5:$G$44,1)&amp;" riesgo(s)"</f>
        <v/>
      </c>
      <c r="D8" s="57">
        <f>"2 · Bajo"&amp;CHAR(10)&amp;COUNTIFS('Registro de riesgos'!$F$5:$F$44,1,'Registro de riesgos'!$G$5:$G$44,2)&amp;" riesgo(s)"</f>
        <v/>
      </c>
      <c r="E8" s="56">
        <f>"3 · Medio"&amp;CHAR(10)&amp;COUNTIFS('Registro de riesgos'!$F$5:$F$44,1,'Registro de riesgos'!$G$5:$G$44,3)&amp;" riesgo(s)"</f>
        <v/>
      </c>
      <c r="G8" s="57" t="inlineStr">
        <is>
          <t>Bajo</t>
        </is>
      </c>
      <c r="H8" s="44" t="inlineStr">
        <is>
          <t>1–2 · mínimo o smoke</t>
        </is>
      </c>
    </row>
    <row r="10" ht="15" customHeight="1" s="35">
      <c r="B10" s="34" t="inlineStr">
        <is>
          <t>Impacto →  ·  ↑ Probabilidad</t>
        </is>
      </c>
    </row>
    <row r="12" ht="15" customHeight="1" s="35">
      <c r="B12" s="4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B3D59"/>
    <outlinePr summaryBelow="1" summaryRight="1"/>
    <pageSetUpPr fitToPage="0"/>
  </sheetPr>
  <dimension ref="B2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32" customWidth="1" style="34" min="2" max="2"/>
    <col width="16" customWidth="1" style="34" min="3" max="5"/>
  </cols>
  <sheetData>
    <row r="2" ht="21.75" customHeight="1" s="35">
      <c r="B2" s="50" t="inlineStr">
        <is>
          <t>Resumen por clasificación y tipo</t>
        </is>
      </c>
    </row>
    <row r="4" ht="15" customHeight="1" s="35">
      <c r="B4" s="52" t="inlineStr">
        <is>
          <t>Clasificación</t>
        </is>
      </c>
      <c r="C4" s="52" t="inlineStr">
        <is>
          <t>Producto</t>
        </is>
      </c>
      <c r="D4" s="52" t="inlineStr">
        <is>
          <t>Proyecto</t>
        </is>
      </c>
      <c r="E4" s="52" t="inlineStr">
        <is>
          <t>Total</t>
        </is>
      </c>
    </row>
    <row r="5" ht="15" customHeight="1" s="35">
      <c r="B5" s="55" t="inlineStr">
        <is>
          <t>Alto</t>
        </is>
      </c>
      <c r="C5" s="53">
        <f>COUNTIFS('Registro de riesgos'!$I$5:$I$44,"Alto",'Registro de riesgos'!$B$5:$B$44,"Producto")</f>
        <v/>
      </c>
      <c r="D5" s="53">
        <f>COUNTIFS('Registro de riesgos'!$I$5:$I$44,"Alto",'Registro de riesgos'!$B$5:$B$44,"Proyecto")</f>
        <v/>
      </c>
      <c r="E5" s="65">
        <f>C5+D5</f>
        <v/>
      </c>
    </row>
    <row r="6" ht="15" customHeight="1" s="35">
      <c r="B6" s="56" t="inlineStr">
        <is>
          <t>Medio</t>
        </is>
      </c>
      <c r="C6" s="53">
        <f>COUNTIFS('Registro de riesgos'!$I$5:$I$44,"Medio",'Registro de riesgos'!$B$5:$B$44,"Producto")</f>
        <v/>
      </c>
      <c r="D6" s="53">
        <f>COUNTIFS('Registro de riesgos'!$I$5:$I$44,"Medio",'Registro de riesgos'!$B$5:$B$44,"Proyecto")</f>
        <v/>
      </c>
      <c r="E6" s="65">
        <f>C6+D6</f>
        <v/>
      </c>
    </row>
    <row r="7" ht="15" customHeight="1" s="35">
      <c r="B7" s="57" t="inlineStr">
        <is>
          <t>Bajo</t>
        </is>
      </c>
      <c r="C7" s="53">
        <f>COUNTIFS('Registro de riesgos'!$I$5:$I$44,"Bajo",'Registro de riesgos'!$B$5:$B$44,"Producto")</f>
        <v/>
      </c>
      <c r="D7" s="53">
        <f>COUNTIFS('Registro de riesgos'!$I$5:$I$44,"Bajo",'Registro de riesgos'!$B$5:$B$44,"Proyecto")</f>
        <v/>
      </c>
      <c r="E7" s="65">
        <f>C7+D7</f>
        <v/>
      </c>
    </row>
    <row r="8" ht="15" customHeight="1" s="35">
      <c r="B8" s="52" t="inlineStr">
        <is>
          <t>Total</t>
        </is>
      </c>
      <c r="C8" s="65">
        <f>SUM(C5:C7)</f>
        <v/>
      </c>
      <c r="D8" s="65">
        <f>SUM(D5:D7)</f>
        <v/>
      </c>
      <c r="E8" s="65">
        <f>SUM(E5:E7)</f>
        <v/>
      </c>
    </row>
    <row r="10" ht="15.75" customHeight="1" s="35">
      <c r="B10" s="51" t="inlineStr">
        <is>
          <t>Mínimo para la Entrega 1</t>
        </is>
      </c>
    </row>
    <row r="11" ht="15" customHeight="1" s="35">
      <c r="B11" s="44" t="inlineStr">
        <is>
          <t>Riesgos de producto</t>
        </is>
      </c>
      <c r="C11" s="65">
        <f>C8</f>
        <v/>
      </c>
      <c r="D11" s="65">
        <f>IF(C11&gt;=8,"OK","Falta")</f>
        <v/>
      </c>
      <c r="E11" s="49" t="inlineStr">
        <is>
          <t>Meta: ≥ 8</t>
        </is>
      </c>
    </row>
    <row r="12" ht="15" customHeight="1" s="35">
      <c r="B12" s="44" t="inlineStr">
        <is>
          <t>Riesgos de proyecto</t>
        </is>
      </c>
      <c r="C12" s="65">
        <f>D8</f>
        <v/>
      </c>
      <c r="D12" s="65">
        <f>IF(C12&gt;=3,"OK","Falta")</f>
        <v/>
      </c>
      <c r="E12" s="49" t="inlineStr">
        <is>
          <t>Meta: ≥ 3</t>
        </is>
      </c>
    </row>
    <row r="13" ht="15" customHeight="1" s="35">
      <c r="B13" s="44" t="inlineStr">
        <is>
          <t>Altos/medios sin respuesta</t>
        </is>
      </c>
      <c r="C13" s="65">
        <f>COUNTIFS('Registro de riesgos'!$I$5:$I$44,"Alto",'Registro de riesgos'!$J$5:$J$44,"")+COUNTIFS('Registro de riesgos'!$I$5:$I$44,"Medio",'Registro de riesgos'!$J$5:$J$44,"")</f>
        <v/>
      </c>
      <c r="D13" s="65">
        <f>IF(C13=0,"OK","Falta")</f>
        <v/>
      </c>
      <c r="E13" s="49" t="inlineStr">
        <is>
          <t>Meta: 0</t>
        </is>
      </c>
    </row>
    <row r="14" ht="15" customHeight="1" s="35">
      <c r="B14" s="44" t="inlineStr">
        <is>
          <t>Altos de producto sin casos TestLink</t>
        </is>
      </c>
      <c r="C14" s="65">
        <f>COUNTIFS('Registro de riesgos'!$I$5:$I$44,"Alto",'Registro de riesgos'!$B$5:$B$44,"Producto",'Registro de riesgos'!$M$5:$M$44,"")</f>
        <v/>
      </c>
      <c r="D14" s="65">
        <f>IF(C14=0,"OK","Falta")</f>
        <v/>
      </c>
      <c r="E14" s="49" t="inlineStr">
        <is>
          <t>Meta: 0</t>
        </is>
      </c>
    </row>
  </sheetData>
  <conditionalFormatting sqref="D11:D14">
    <cfRule type="expression" rank="0" priority="2" equalAverage="0" aboveAverage="0" dxfId="10" text="" percent="0" bottom="0">
      <formula>D11="OK"</formula>
    </cfRule>
    <cfRule type="expression" rank="0" priority="3" equalAverage="0" aboveAverage="0" dxfId="8" text="" percent="0" bottom="0">
      <formula>D11="Falta"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2026-10-02T16:42:25Z</dcterms:created>
  <dcterms:modified xmlns:dcterms="http://purl.org/dc/terms/" xmlns:xsi="http://www.w3.org/2001/XMLSchema-instance" xsi:type="dcterms:W3CDTF">2026-10-22T23:35:59Z</dcterms:modified>
  <cp:revision>0</cp:revision>
</cp:coreProperties>
</file>